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holic Schools" sheetId="1" state="visible" r:id="rId3"/>
    <sheet name="Catholic Schools - Financials" sheetId="2" state="visible" r:id="rId4"/>
    <sheet name="Christian Schools - Financials" sheetId="3" state="visible" r:id="rId5"/>
    <sheet name="Christian Schools (Edvance)" sheetId="4" state="visible" r:id="rId6"/>
    <sheet name="Arts Organizations" sheetId="5" state="visible" r:id="rId7"/>
    <sheet name="CRA Financial Data" sheetId="6" state="visible" r:id="rId8"/>
    <sheet name="CharityData Example (Northmount" sheetId="7" state="visible" r:id="rId9"/>
    <sheet name="Key Associations" sheetId="8" state="visible" r:id="rId10"/>
    <sheet name="How to Pull CharityData" sheetId="9" state="visible" r:id="rId11"/>
    <sheet name="Catholic Expanded - Financial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<sst xmlns="http://schemas.openxmlformats.org/spreadsheetml/2006/main" count="1144" uniqueCount="769">
  <si>
    <t xml:space="preserve">Organization</t>
  </si>
  <si>
    <t xml:space="preserve">Location</t>
  </si>
  <si>
    <t xml:space="preserve">Grades</t>
  </si>
  <si>
    <t xml:space="preserve">Website</t>
  </si>
  <si>
    <t xml:space="preserve">Phone</t>
  </si>
  <si>
    <t xml:space="preserve">Head/ED</t>
  </si>
  <si>
    <t xml:space="preserve">Board Chair</t>
  </si>
  <si>
    <t xml:space="preserve">Board Members / Key People</t>
  </si>
  <si>
    <t xml:space="preserve">CharityData URL</t>
  </si>
  <si>
    <t xml:space="preserve">Priority</t>
  </si>
  <si>
    <t xml:space="preserve">Notes</t>
  </si>
  <si>
    <t xml:space="preserve">Northmount School for Boys</t>
  </si>
  <si>
    <t xml:space="preserve">Toronto, ON</t>
  </si>
  <si>
    <t xml:space="preserve">JK-8</t>
  </si>
  <si>
    <t xml:space="preserve">northmount.com</t>
  </si>
  <si>
    <t xml:space="preserve">See website</t>
  </si>
  <si>
    <t xml:space="preserve">Keith McLean (Chair)</t>
  </si>
  <si>
    <t xml:space="preserve">Sean Bayley, Robin Di Tosto, Michael Duffy, Gerard McCabe, Oscar Roque, Daniel Stronach (Treasurer), Vasily Zadorojny. CHARITYDATA: Rev $4.0M (2024), Donations $586K, Fundraising spend $47K, Consulting fees $18K, 18 FT staff. Active building campaign. Lamb Foundation major donor.</t>
  </si>
  <si>
    <t xml:space="preserve">charitydata.ca/charity/northmount-school-for-boys/137973350RR0001/</t>
  </si>
  <si>
    <t xml:space="preserve">HIGH</t>
  </si>
  <si>
    <t xml:space="preserve">Has fundraising infrastructure but consulting fees very low ($18K). Active capital campaign. Key question: do they need help scaling?</t>
  </si>
  <si>
    <t xml:space="preserve">Hawthorn School (Girls)</t>
  </si>
  <si>
    <t xml:space="preserve">Daycare-Gr12</t>
  </si>
  <si>
    <t xml:space="preserve">hawthornschool.com</t>
  </si>
  <si>
    <t xml:space="preserve">Only independent Catholic all-girl school in Toronto. Classical liberal arts. 100% university acceptance. Opus Dei tradition.</t>
  </si>
  <si>
    <t xml:space="preserve">Search charitydata.ca for Hawthorn School</t>
  </si>
  <si>
    <t xml:space="preserve">Well-established. Check CharityData for revenue/fundraising profile.</t>
  </si>
  <si>
    <t xml:space="preserve">Villanova College</t>
  </si>
  <si>
    <t xml:space="preserve">King City, ON</t>
  </si>
  <si>
    <t xml:space="preserve">Gr 4-12</t>
  </si>
  <si>
    <t xml:space="preserve">villanovacollege.org</t>
  </si>
  <si>
    <t xml:space="preserve">Co-ed Catholic. Augustinian tradition. Boarding option. York Region.</t>
  </si>
  <si>
    <t xml:space="preserve">Search charitydata.ca for Villanova College</t>
  </si>
  <si>
    <t xml:space="preserve">Larger school with boarding. Check if they have development staff.</t>
  </si>
  <si>
    <t xml:space="preserve">Our Lady of the Wayside</t>
  </si>
  <si>
    <t xml:space="preserve">Peterborough, ON</t>
  </si>
  <si>
    <t xml:space="preserve">K-12</t>
  </si>
  <si>
    <t xml:space="preserve">olwayside.ca</t>
  </si>
  <si>
    <t xml:space="preserve">CIOCS member. Peterborough Diocese listed private school. Classical Catholic ed. Founded 1995.</t>
  </si>
  <si>
    <t xml:space="preserve">Search charitydata.ca for Our Lady of the Wayside</t>
  </si>
  <si>
    <t xml:space="preserve">YOUR BACKYARD. Strong local connection potential. Classical ed niche.</t>
  </si>
  <si>
    <t xml:space="preserve">Mater Boni Consilii Academy</t>
  </si>
  <si>
    <t xml:space="preserve">Oakville, ON</t>
  </si>
  <si>
    <t xml:space="preserve">K-8</t>
  </si>
  <si>
    <t xml:space="preserve">mbcahalton.com</t>
  </si>
  <si>
    <t xml:space="preserve">CIOCS member. Catholic formation + character development focus.</t>
  </si>
  <si>
    <t xml:space="preserve">Search charitydata.ca for Mater Boni Consilii</t>
  </si>
  <si>
    <t xml:space="preserve">Small school. Likely lacks fundraising capacity.</t>
  </si>
  <si>
    <t xml:space="preserve">St. Joseph Academy</t>
  </si>
  <si>
    <t xml:space="preserve">St. Catharines, ON</t>
  </si>
  <si>
    <t xml:space="preserve">stjosephacademy.ca</t>
  </si>
  <si>
    <t xml:space="preserve">CIOCS member. Niagara region.</t>
  </si>
  <si>
    <t xml:space="preserve">Search charitydata.ca for St. Joseph Academy St. Catharines</t>
  </si>
  <si>
    <t xml:space="preserve">Niagara region.</t>
  </si>
  <si>
    <t xml:space="preserve">Sacred Heart Academy</t>
  </si>
  <si>
    <t xml:space="preserve">Oshawa, ON</t>
  </si>
  <si>
    <t xml:space="preserve">sacredheartdurham.com</t>
  </si>
  <si>
    <t xml:space="preserve">CIOCS member. Durham region.</t>
  </si>
  <si>
    <t xml:space="preserve">Search charitydata.ca for Sacred Heart Academy Oshawa</t>
  </si>
  <si>
    <t xml:space="preserve">MEDIUM</t>
  </si>
  <si>
    <t xml:space="preserve">Our Lady of the Pillar Academy</t>
  </si>
  <si>
    <t xml:space="preserve">Strathroy, ON</t>
  </si>
  <si>
    <t xml:space="preserve">pillaracademy.ca</t>
  </si>
  <si>
    <t xml:space="preserve">CIOCS member. Newer school.</t>
  </si>
  <si>
    <t xml:space="preserve">Search charitydata.ca for Pillar Academy</t>
  </si>
  <si>
    <t xml:space="preserve">Smaller/newer.</t>
  </si>
  <si>
    <t xml:space="preserve">Academia Stella Maris</t>
  </si>
  <si>
    <t xml:space="preserve">Limoges, ON</t>
  </si>
  <si>
    <t xml:space="preserve">academiastellamaris.ca</t>
  </si>
  <si>
    <t xml:space="preserve">343-883-6600</t>
  </si>
  <si>
    <t xml:space="preserve">CIOCS + Edvance member. Bilingual.</t>
  </si>
  <si>
    <t xml:space="preserve">Search charitydata.ca for Academia Stella Maris</t>
  </si>
  <si>
    <t xml:space="preserve">French/English bilingual. East of Ottawa.</t>
  </si>
  <si>
    <t xml:space="preserve">Ecole Sainte-Marie Mere de Dieu</t>
  </si>
  <si>
    <t xml:space="preserve">Ottawa, ON</t>
  </si>
  <si>
    <t xml:space="preserve">smmd.ca</t>
  </si>
  <si>
    <t xml:space="preserve">CIOCS member. French-language Catholic.</t>
  </si>
  <si>
    <t xml:space="preserve">Search charitydata.ca for Sainte-Marie Mere de Dieu</t>
  </si>
  <si>
    <t xml:space="preserve">LOW</t>
  </si>
  <si>
    <t xml:space="preserve">French-language.</t>
  </si>
  <si>
    <t xml:space="preserve">Maryvale Academy</t>
  </si>
  <si>
    <t xml:space="preserve">maryvaleacademy.ca</t>
  </si>
  <si>
    <t xml:space="preserve">CIOCS member. Ottawa.</t>
  </si>
  <si>
    <t xml:space="preserve">Search charitydata.ca for Maryvale Academy Ottawa</t>
  </si>
  <si>
    <t xml:space="preserve">Ottawa market.</t>
  </si>
  <si>
    <t xml:space="preserve">Ecole Notre-Dame du Mont Carmel</t>
  </si>
  <si>
    <t xml:space="preserve">K-Bac</t>
  </si>
  <si>
    <t xml:space="preserve">ndmc.ca</t>
  </si>
  <si>
    <t xml:space="preserve">CIOCS member. French baccalaureate program.</t>
  </si>
  <si>
    <t xml:space="preserve">Search charitydata.ca for Notre-Dame du Mont Carmel Ottawa</t>
  </si>
  <si>
    <t xml:space="preserve">Sacred Heart Private School</t>
  </si>
  <si>
    <t xml:space="preserve">Welland, ON</t>
  </si>
  <si>
    <t xml:space="preserve">Facebook only</t>
  </si>
  <si>
    <t xml:space="preserve">See FB page</t>
  </si>
  <si>
    <t xml:space="preserve">CIOCS member. Facebook-only web presence.</t>
  </si>
  <si>
    <t xml:space="preserve">Search charitydata.ca for Sacred Heart Private School Welland</t>
  </si>
  <si>
    <t xml:space="preserve">Very small. Facebook-only presence.</t>
  </si>
  <si>
    <t xml:space="preserve">CRA T3010 Financial Data (2023) -- Green = In Sweet Spot | Red = Outside | Sweet Spot: Revenue $200K-$2M, Fund Exp &lt;$50K, Consulting &lt;$25K</t>
  </si>
  <si>
    <t xml:space="preserve">BN</t>
  </si>
  <si>
    <t xml:space="preserve">FPE</t>
  </si>
  <si>
    <t xml:space="preserve">Total Revenue
(4700)</t>
  </si>
  <si>
    <t xml:space="preserve">Receipted Donations
(4500)</t>
  </si>
  <si>
    <t xml:space="preserve">Non-Receipted
(4510)</t>
  </si>
  <si>
    <t xml:space="preserve">Gov't Funding
(4540)</t>
  </si>
  <si>
    <t xml:space="preserve">Special Events
(4630)</t>
  </si>
  <si>
    <t xml:space="preserve">Total Assets
(4200)</t>
  </si>
  <si>
    <t xml:space="preserve">Total Liabilities
(4350)</t>
  </si>
  <si>
    <t xml:space="preserve">Fundraising Exp
(5020)</t>
  </si>
  <si>
    <t xml:space="preserve">Consulting Fees
(4860)</t>
  </si>
  <si>
    <t xml:space="preserve">Total Expenditures
(4950)</t>
  </si>
  <si>
    <t xml:space="preserve">Don % of Rev</t>
  </si>
  <si>
    <t xml:space="preserve">Fund Exp %</t>
  </si>
  <si>
    <t xml:space="preserve">Key Board Members</t>
  </si>
  <si>
    <t xml:space="preserve">Sweet Spot Assessment</t>
  </si>
  <si>
    <t xml:space="preserve">137973350RR0001</t>
  </si>
  <si>
    <t xml:space="preserve">2023-08-31</t>
  </si>
  <si>
    <t xml:space="preserve">Keith McLean</t>
  </si>
  <si>
    <t xml:space="preserve">Daniel Stronach (Treas), Sean Bayley, Michael Duffy, Gerard McCabe, Scott Lowry, Quentin Schesnuik, Vasily Zadoronyi, Robin Di Tosto</t>
  </si>
  <si>
    <t xml:space="preserve">TOO LARGE for sweet spot. Rev $4M. Already has $2.6M in receipted donations, $116K fundraising spend. Active capital campaign. Lamb Foundation major donor ($1.17M). BUT consulting only $13K - might need strategic help.</t>
  </si>
  <si>
    <t xml:space="preserve">Hawthorn School for Girls</t>
  </si>
  <si>
    <t xml:space="preserve">138978002RR0001</t>
  </si>
  <si>
    <t xml:space="preserve">2023-06-30</t>
  </si>
  <si>
    <t xml:space="preserve">Maria Casanova Gurrera (Past Chair)</t>
  </si>
  <si>
    <t xml:space="preserve">Kelechi Enyinna (Treas), Joanne Best (Past Chair), Mauricio Saishio (Past Treas), Marie Josine Dee, Chris Nivet, Sandra Pietrobon, Peter McRae, Angela Deo, Alex Shipilov, Robert McGrath, Louise Rebello, Teresa Tomory, Ines Tillard</t>
  </si>
  <si>
    <t xml:space="preserve">EXCELLENT PROSPECT. Rev $2.9M (above sweet spot ceiling but ZERO fundraising spend). Only $16K consulting. $243K donations but zero infrastructure. Opus Dei tradition. Large board (15). Huge untapped potential for planned giving and major gifts.</t>
  </si>
  <si>
    <t xml:space="preserve">869147785RR0001</t>
  </si>
  <si>
    <t xml:space="preserve">Elya Ornelas</t>
  </si>
  <si>
    <t xml:space="preserve">Nick Creatura (VC), Gennaro Disanto (Treas), Jessica Spina (Sec), Connie Haces, Pierluigi Fiorino, Laura Casullo, Pamilla Pandoo, Michael D'Angelo, Michael Tedesco, Kathy Varlese</t>
  </si>
  <si>
    <t xml:space="preserve">TOO LARGE. Rev $15.2M. Major institution. Already has $4.1M donations and $113K fundraising spend. High debt ($22.6M liabilities). Likely has professional development staff.</t>
  </si>
  <si>
    <t xml:space="preserve">894588953RR0001</t>
  </si>
  <si>
    <t xml:space="preserve">Frank Callaghan</t>
  </si>
  <si>
    <t xml:space="preserve">Raphael Dunne (VC), Joseph Devereaux, Maureen Brand, Teresa Mulligan</t>
  </si>
  <si>
    <t xml:space="preserve">STRONG PROSPECT. YOUR BACKYARD (Peterborough). Rev $603K in sweet spot. Only $4.4K fundraising, $4.2K consulting. $315K non-receipted donations vs only $38K receipted = huge tax receipt conversion opportunity. Small board (5). Classical Catholic. Perfect client.</t>
  </si>
  <si>
    <t xml:space="preserve">841345838RR0001</t>
  </si>
  <si>
    <t xml:space="preserve">Fatima Borges</t>
  </si>
  <si>
    <t xml:space="preserve">Angela Lecanda (Treas), James Powers, Ante Skoko</t>
  </si>
  <si>
    <t xml:space="preserve">VERY SMALL. Rev only $6.9K. Essentially a startup/micro-org. $17.5K total assets. Tiny board (4). May not have capacity to engage consulting. Low priority unless rapid growth trajectory.</t>
  </si>
  <si>
    <t xml:space="preserve">845957778RR0001</t>
  </si>
  <si>
    <t xml:space="preserve">2023-12-31</t>
  </si>
  <si>
    <t xml:space="preserve">Patrick Wilson &amp; John-Paul Minten (Co-Presidents)</t>
  </si>
  <si>
    <t xml:space="preserve">Ashly Buis (Treas), Joe Bianchi, Peter Braet, Scott Sinasac, Laura Welch, Gregory Tobin, Ashley Hartman, Peter Norris</t>
  </si>
  <si>
    <t xml:space="preserve">GOOD PROSPECT. Rev $499K in sweet spot. ZERO fundraising spend, $7K consulting. $185K receipted donations = has donor base. But liabilities &gt; assets ($688K vs $681K). 10-person board. Strathroy area.</t>
  </si>
  <si>
    <t xml:space="preserve">763943685RR0001</t>
  </si>
  <si>
    <t xml:space="preserve">Jonathan Blake &amp; James Prior (Chairs)</t>
  </si>
  <si>
    <t xml:space="preserve">John Montojo (Sec-Treas), Shannon McSheffrey (Sec), Robert Masternack (Treas), Kenton Biffert (Chair)</t>
  </si>
  <si>
    <t xml:space="preserve">GOOD PROSPECT. Rev $278K in sweet spot. Minimal fundraising ($2.1K), minimal consulting ($700). Only $43K receipted donations = room to grow. Bilingual school near Ottawa. Small but growing.</t>
  </si>
  <si>
    <t xml:space="preserve">713652352RR0001</t>
  </si>
  <si>
    <t xml:space="preserve">See CRA filing</t>
  </si>
  <si>
    <t xml:space="preserve">See CRA filing (no key roles in data)</t>
  </si>
  <si>
    <t xml:space="preserve">SMALL. Rev $82K, well below sweet spot floor. Zero assets on books. French-language. Low priority.</t>
  </si>
  <si>
    <t xml:space="preserve">861025294RR0001</t>
  </si>
  <si>
    <t xml:space="preserve">Timothy Lau</t>
  </si>
  <si>
    <t xml:space="preserve">Nik Zylstra (Sec), Renze Nauta (Treas)</t>
  </si>
  <si>
    <t xml:space="preserve">GOOD PROSPECT. Rev $433K in sweet spot. $29K fundraising spend, $24K consulting -- has some infrastructure but modest. $98K receipted donations. Ottawa market. Expenditures exceed revenue ($571K vs $433K) = financial stress. Could use help.</t>
  </si>
  <si>
    <t xml:space="preserve">Rhema CS / Ptbo Christian School</t>
  </si>
  <si>
    <t xml:space="preserve">119091809RR0001</t>
  </si>
  <si>
    <t xml:space="preserve">2023-07-31</t>
  </si>
  <si>
    <t xml:space="preserve">John Reesor &amp; Andrea Fennessy (Chairpersons)</t>
  </si>
  <si>
    <t xml:space="preserve">Jay Boshart (Treas), Steve Gibbs (VC), Neisha MacDonald (Sec), Allison MacGregor, Jeremy Van Berkel, Dan Biro</t>
  </si>
  <si>
    <t xml:space="preserve">TOP PRIORITY. IN PETERBOROUGH. Rev $1.26M in sweet spot. Only $4.7K fundraising, $12K consulting. $568K receipted donations = strong donor base with no systematic fundraising. $1.2M assets, healthy. 8-person board. IMMEDIATE outreach target.</t>
  </si>
  <si>
    <t xml:space="preserve">Northumberland CS (Cobourg)</t>
  </si>
  <si>
    <t xml:space="preserve">107785248RR0001</t>
  </si>
  <si>
    <t xml:space="preserve">Myriam Innocent</t>
  </si>
  <si>
    <t xml:space="preserve">Dave Pronk (Treas), Leona Dejong (Sec), Megan Heideman, Jordan Hoogendam, David Wieland</t>
  </si>
  <si>
    <t xml:space="preserve">GOOD PROSPECT. Rev $897K in sweet spot. $18K fundraising, $8K consulting -- minimal infrastructure. $354K receipted donations = has donor base. Solid financials ($1.2M assets). 30 min from Peterborough.</t>
  </si>
  <si>
    <t xml:space="preserve">Heritage CS (Lindsay)</t>
  </si>
  <si>
    <t xml:space="preserve">132530239RR0001</t>
  </si>
  <si>
    <t xml:space="preserve">MODERATE. Rev $1.1M in sweet spot but $50K fundraising spend (right at threshold). Only $2.6K consulting. $316K donations. Kawartha Lakes, 45 min from Ptbo.</t>
  </si>
  <si>
    <t xml:space="preserve">Belleville District CS</t>
  </si>
  <si>
    <t xml:space="preserve">106782972RR0001</t>
  </si>
  <si>
    <t xml:space="preserve">INTERESTING. Rev $1.7M but receipted donations $3.1M EXCEED revenue (capital campaign?). Only $4.7K fundraising spend. Strong community support. 1 hr from Ptbo. Big balance sheet ($5.7M assets, $4.4M liab).</t>
  </si>
  <si>
    <t xml:space="preserve">Quinte Region CHS</t>
  </si>
  <si>
    <t xml:space="preserve">119108033RR0001</t>
  </si>
  <si>
    <t xml:space="preserve">ABOVE SWEET SPOT. Rev $2.6M. But only $22K fundraising, $20K consulting -- modest for size. $1.25M donations. Belleville.</t>
  </si>
  <si>
    <t xml:space="preserve">Trenton CS</t>
  </si>
  <si>
    <t xml:space="preserve">119268837RR0001</t>
  </si>
  <si>
    <t xml:space="preserve">AT CEILING. Rev $2.1M just above sweet spot. $30K fundraising, $15K consulting -- moderate. $614K donations. Gov funding $91K. 1 hr from Ptbo.</t>
  </si>
  <si>
    <t xml:space="preserve">Sonrise CA (Picton/Belleville)</t>
  </si>
  <si>
    <t xml:space="preserve">119156347RR0001</t>
  </si>
  <si>
    <t xml:space="preserve">GOOD PROSPECT. Rev $377K in sweet spot. $22K fundraising, $6K consulting. $114K donations. Strong balance sheet ($518K assets, only $14K liab). PEC area.</t>
  </si>
  <si>
    <t xml:space="preserve">Orillia CS</t>
  </si>
  <si>
    <t xml:space="preserve">132700816RR0001</t>
  </si>
  <si>
    <t xml:space="preserve">STRONG PROSPECT. Rev $996K in sweet spot. Only $13K fundraising, $15K consulting. $510K receipted donations (51% of rev) = strong donor culture. Clean balance sheet. 1 hr north of Ptbo.</t>
  </si>
  <si>
    <t xml:space="preserve">Muskoka CS (Port Sydney)</t>
  </si>
  <si>
    <t xml:space="preserve">119049898RR0001</t>
  </si>
  <si>
    <t xml:space="preserve">GOOD PROSPECT. Rev $1.4M in sweet spot. $26K fundraising, $8K consulting. $725K donations (52% of rev). Muskoka region.</t>
  </si>
  <si>
    <t xml:space="preserve">Hamilton District CHS</t>
  </si>
  <si>
    <t xml:space="preserve">118951474RR0001</t>
  </si>
  <si>
    <t xml:space="preserve">Marty Speelman</t>
  </si>
  <si>
    <t xml:space="preserve">Rob Vanderkruk (VC), Chris French (Treas), Danielle VandenAkker (Sec)</t>
  </si>
  <si>
    <t xml:space="preserve">TOO LARGE. Rev $6.9M. Major institution. But only $31K fundraising for that size = potential.</t>
  </si>
  <si>
    <t xml:space="preserve">Woodland CHS (Breslau)</t>
  </si>
  <si>
    <t xml:space="preserve">118826221RR0001</t>
  </si>
  <si>
    <t xml:space="preserve">Andrea Bootsma</t>
  </si>
  <si>
    <t xml:space="preserve">Jim Kleefman (Treas), Gina Price (Sec)</t>
  </si>
  <si>
    <t xml:space="preserve">TOO LARGE. Rev $5.8M. K-W region. $1.9M donations but only $53K fundraising spend.</t>
  </si>
  <si>
    <t xml:space="preserve">Durham CHS (Bowmanville)</t>
  </si>
  <si>
    <t xml:space="preserve">107270944RR0001</t>
  </si>
  <si>
    <t xml:space="preserve">GOOD PROSPECT. Rev $1.6M in sweet spot. Only $14K fundraising, $44K consulting. $467K donations. Durham region.</t>
  </si>
  <si>
    <t xml:space="preserve">TDChristian HS (Woodbridge)</t>
  </si>
  <si>
    <t xml:space="preserve">130167281RR0001</t>
  </si>
  <si>
    <t xml:space="preserve">Jordan Kuyvenhoven</t>
  </si>
  <si>
    <t xml:space="preserve">Nancy Fernhout (Treas), Cameron Loopstra (VC), Tim Sinke (Sec)</t>
  </si>
  <si>
    <t xml:space="preserve">TOO LARGE. Rev $7.6M. $363K consulting. Major institution.</t>
  </si>
  <si>
    <t xml:space="preserve">King's Christian Collegiate</t>
  </si>
  <si>
    <t xml:space="preserve">866120629RR0001</t>
  </si>
  <si>
    <t xml:space="preserve">Juliette Lamb</t>
  </si>
  <si>
    <t xml:space="preserve">Gordon Shin (VC), John Wilkening (Treas), David Klassen (Sec), Danielle Kamerman (Sec)</t>
  </si>
  <si>
    <t xml:space="preserve">TOO LARGE. Rev $13.8M. $37.4M assets. Major institution.</t>
  </si>
  <si>
    <t xml:space="preserve">Redeemer CHS (Ottawa)</t>
  </si>
  <si>
    <t xml:space="preserve">130672991RR0001</t>
  </si>
  <si>
    <t xml:space="preserve">John Plews</t>
  </si>
  <si>
    <t xml:space="preserve">Anil Balaram (VC), Russell Welter (Treas), Grzegorz Kopczyk (Sec)</t>
  </si>
  <si>
    <t xml:space="preserve">AT CEILING. Rev $2.5M just above sweet spot. But only $7.6K fundraising, $2.6K consulting = zero infrastructure. $918K donations. Ottawa.</t>
  </si>
  <si>
    <t xml:space="preserve">North Toronto CS</t>
  </si>
  <si>
    <t xml:space="preserve">107785115RR0001</t>
  </si>
  <si>
    <t xml:space="preserve">Barbara Dempsey (President)</t>
  </si>
  <si>
    <t xml:space="preserve">Benita Pak (Sec)</t>
  </si>
  <si>
    <t xml:space="preserve">TOO LARGE. Rev $4.2M. But only $66K in receipted donations and ZERO fundraising spend = massive untapped potential. $12.2M assets. Toronto.</t>
  </si>
  <si>
    <t xml:space="preserve">Great Lakes CHS (Beamsville)</t>
  </si>
  <si>
    <t xml:space="preserve">102183829RR0001</t>
  </si>
  <si>
    <t xml:space="preserve">Noel Walker</t>
  </si>
  <si>
    <t xml:space="preserve">Jonathon Straker (VC), Bob Ammerman (Treas), Linda Smith (Sec)</t>
  </si>
  <si>
    <t xml:space="preserve">TOO LARGE. Rev $3.8M. Already $142K fundraising + $207K consulting. Niagara.</t>
  </si>
  <si>
    <t xml:space="preserve">Niagara Christian Collegiate</t>
  </si>
  <si>
    <t xml:space="preserve">119057164RR0001</t>
  </si>
  <si>
    <t xml:space="preserve">Donald McNiven</t>
  </si>
  <si>
    <t xml:space="preserve">TOO LARGE. Rev $5.6M. But only $46K receipted donations = almost no donor program for its size. Fort Erie.</t>
  </si>
  <si>
    <t xml:space="preserve">Smithville CHS</t>
  </si>
  <si>
    <t xml:space="preserve">107986143RR0001</t>
  </si>
  <si>
    <t xml:space="preserve">Dwight te Brake</t>
  </si>
  <si>
    <t xml:space="preserve">Pete Wierenga (VC), Daryl Haanstra (Treas), Amy Gooderham (Sec)</t>
  </si>
  <si>
    <t xml:space="preserve">ABOVE SWEET SPOT. Rev $3.3M. Only $14K fundraising = minimal. Niagara/Hamilton.</t>
  </si>
  <si>
    <t xml:space="preserve">Ottawa CS</t>
  </si>
  <si>
    <t xml:space="preserve">119071454RR0001</t>
  </si>
  <si>
    <t xml:space="preserve">ABOVE SWEET SPOT. Rev $2.7M. $26K fundraising, $21K consulting -- modest. $1M donations. Ottawa.</t>
  </si>
  <si>
    <t xml:space="preserve">Kingston CS</t>
  </si>
  <si>
    <t xml:space="preserve">124183740RR0001</t>
  </si>
  <si>
    <t xml:space="preserve">STRONG PROSPECT. Rev $1.4M in sweet spot. Only $3.8K fundraising, $10K consulting. $338K donations. Strong balance sheet ($3M assets). Kingston.</t>
  </si>
  <si>
    <t xml:space="preserve">Rhema Christian School</t>
  </si>
  <si>
    <t xml:space="preserve">Elem</t>
  </si>
  <si>
    <t xml:space="preserve">See Edvance</t>
  </si>
  <si>
    <t xml:space="preserve">705-743-1400</t>
  </si>
  <si>
    <t xml:space="preserve">29 County Rd. 4, Peterborough, ON K9L 1B8. EDVANCE AFFILIATE. IN PETERBOROUGH.</t>
  </si>
  <si>
    <t xml:space="preserve">Search charitydata.ca for Rhema Christian School Peterborough</t>
  </si>
  <si>
    <t xml:space="preserve">LITERALLY IN PETERBOROUGH. Top outreach priority.</t>
  </si>
  <si>
    <t xml:space="preserve">Northumberland Christian School</t>
  </si>
  <si>
    <t xml:space="preserve">Cobourg, ON</t>
  </si>
  <si>
    <t xml:space="preserve">905-372-8766</t>
  </si>
  <si>
    <t xml:space="preserve">8861 Danforth Rd East, Cobourg, ON K9A 4J8.</t>
  </si>
  <si>
    <t xml:space="preserve">charitydata.ca/charity/northumberland-christian-school-society-inc/107785248RR0001/</t>
  </si>
  <si>
    <t xml:space="preserve">30 min from Peterborough.</t>
  </si>
  <si>
    <t xml:space="preserve">Heritage Christian School</t>
  </si>
  <si>
    <t xml:space="preserve">Lindsay, ON</t>
  </si>
  <si>
    <t xml:space="preserve">705-324-8363</t>
  </si>
  <si>
    <t xml:space="preserve">159 Colborne St. W., Lindsay, ON K9V 5Z8.</t>
  </si>
  <si>
    <t xml:space="preserve">Search charitydata.ca for Heritage Christian School Lindsay</t>
  </si>
  <si>
    <t xml:space="preserve">Kawartha Lakes. 45 min from Peterborough.</t>
  </si>
  <si>
    <t xml:space="preserve">Belleville Christian School</t>
  </si>
  <si>
    <t xml:space="preserve">Belleville, ON</t>
  </si>
  <si>
    <t xml:space="preserve">613-962-7849</t>
  </si>
  <si>
    <t xml:space="preserve">138B Wallbridge Loyalist Rd, Belleville, ON K8N 4Z2.</t>
  </si>
  <si>
    <t xml:space="preserve">Search charitydata.ca for Belleville Christian School</t>
  </si>
  <si>
    <t xml:space="preserve">Quinte region. 1 hr from Peterborough.</t>
  </si>
  <si>
    <t xml:space="preserve">Quinte Christian High School</t>
  </si>
  <si>
    <t xml:space="preserve">613-968-7870</t>
  </si>
  <si>
    <t xml:space="preserve">138 Wallbridge-Loyalist Road, Belleville, ON K8N 4Z2. Shares campus with Belleville Christian.</t>
  </si>
  <si>
    <t xml:space="preserve">Search charitydata.ca for Quinte Christian High School</t>
  </si>
  <si>
    <t xml:space="preserve">Pair with Belleville Christian for regional outreach.</t>
  </si>
  <si>
    <t xml:space="preserve">Trenton Christian School</t>
  </si>
  <si>
    <t xml:space="preserve">Trenton, ON</t>
  </si>
  <si>
    <t xml:space="preserve">613-392-3600</t>
  </si>
  <si>
    <t xml:space="preserve">340 Second Dug Hill Rd, RR#4, Trenton, ON K8V 5P7.</t>
  </si>
  <si>
    <t xml:space="preserve">Search charitydata.ca for Trenton Christian School</t>
  </si>
  <si>
    <t xml:space="preserve">Quinte West. ~1 hr from Peterborough.</t>
  </si>
  <si>
    <t xml:space="preserve">Sonrise Christian Academy</t>
  </si>
  <si>
    <t xml:space="preserve">Picton, ON</t>
  </si>
  <si>
    <t xml:space="preserve">613-476-7883</t>
  </si>
  <si>
    <t xml:space="preserve">58 Johnson St., Picton, ON K0K 2T0. Prince Edward County.</t>
  </si>
  <si>
    <t xml:space="preserve">Search charitydata.ca for Sonrise Christian Academy Picton</t>
  </si>
  <si>
    <t xml:space="preserve">PEC. ~1.5 hr from Peterborough.</t>
  </si>
  <si>
    <t xml:space="preserve">Orillia Christian School</t>
  </si>
  <si>
    <t xml:space="preserve">Orillia, ON</t>
  </si>
  <si>
    <t xml:space="preserve">705-326-0532</t>
  </si>
  <si>
    <t xml:space="preserve">Box 862, 505 Gill Street, Orillia, ON L3V 6K8.</t>
  </si>
  <si>
    <t xml:space="preserve">Search charitydata.ca for Orillia Christian School</t>
  </si>
  <si>
    <t xml:space="preserve">~1 hr north of Peterborough.</t>
  </si>
  <si>
    <t xml:space="preserve">Muskoka Christian School</t>
  </si>
  <si>
    <t xml:space="preserve">Port Sydney, ON</t>
  </si>
  <si>
    <t xml:space="preserve">705-385-2847</t>
  </si>
  <si>
    <t xml:space="preserve">370 South Mary Lake Rd, Port Sydney, ON P0B 1L0.</t>
  </si>
  <si>
    <t xml:space="preserve">Search charitydata.ca for Muskoka Christian School</t>
  </si>
  <si>
    <t xml:space="preserve">Muskoka region.</t>
  </si>
  <si>
    <t xml:space="preserve">Hamilton District Christian High</t>
  </si>
  <si>
    <t xml:space="preserve">Ancaster, ON</t>
  </si>
  <si>
    <t xml:space="preserve">Sec</t>
  </si>
  <si>
    <t xml:space="preserve">hdch.org</t>
  </si>
  <si>
    <t xml:space="preserve">905-648-6655</t>
  </si>
  <si>
    <t xml:space="preserve">92 Glancaster Rd., Ancaster, ON L9G 3K9.</t>
  </si>
  <si>
    <t xml:space="preserve">Search charitydata.ca for Hamilton District Christian High</t>
  </si>
  <si>
    <t xml:space="preserve">Established regional high school.</t>
  </si>
  <si>
    <t xml:space="preserve">Woodland Christian High School</t>
  </si>
  <si>
    <t xml:space="preserve">Breslau, ON</t>
  </si>
  <si>
    <t xml:space="preserve">woodland.on.ca</t>
  </si>
  <si>
    <t xml:space="preserve">519-648-2114</t>
  </si>
  <si>
    <t xml:space="preserve">1058 Spitzig Rd., Breslau, ON N0B 1M0. Waterloo Region.</t>
  </si>
  <si>
    <t xml:space="preserve">Search charitydata.ca for Woodland Christian High School</t>
  </si>
  <si>
    <t xml:space="preserve">Major Christian HS in K-W region.</t>
  </si>
  <si>
    <t xml:space="preserve">Durham Christian High School</t>
  </si>
  <si>
    <t xml:space="preserve">Bowmanville, ON</t>
  </si>
  <si>
    <t xml:space="preserve">dchs.ca</t>
  </si>
  <si>
    <t xml:space="preserve">905-623-5940</t>
  </si>
  <si>
    <t xml:space="preserve">340 West Scugog Lane, Bowmanville, ON L1C 7C1.</t>
  </si>
  <si>
    <t xml:space="preserve">Search charitydata.ca for Durham Christian High School</t>
  </si>
  <si>
    <t xml:space="preserve">Durham region.</t>
  </si>
  <si>
    <t xml:space="preserve">TDChristian High School</t>
  </si>
  <si>
    <t xml:space="preserve">Woodbridge, ON</t>
  </si>
  <si>
    <t xml:space="preserve">tdchristian.ca</t>
  </si>
  <si>
    <t xml:space="preserve">905-851-1772</t>
  </si>
  <si>
    <t xml:space="preserve">377 Woodbridge Ave., Woodbridge, ON L4L 2V7.</t>
  </si>
  <si>
    <t xml:space="preserve">Search charitydata.ca for TDChristian High School</t>
  </si>
  <si>
    <t xml:space="preserve">GTA. Established.</t>
  </si>
  <si>
    <t xml:space="preserve">kingschristian.ca</t>
  </si>
  <si>
    <t xml:space="preserve">905-257-5464</t>
  </si>
  <si>
    <t xml:space="preserve">528 Burnhamthorpe Rd W., Oakville, ON L6M 4K6.</t>
  </si>
  <si>
    <t xml:space="preserve">Search charitydata.ca for Kings Christian Collegiate</t>
  </si>
  <si>
    <t xml:space="preserve">Oakville area.</t>
  </si>
  <si>
    <t xml:space="preserve">Redeemer Christian High School</t>
  </si>
  <si>
    <t xml:space="preserve">rchs.on.ca</t>
  </si>
  <si>
    <t xml:space="preserve">613-723-9262</t>
  </si>
  <si>
    <t xml:space="preserve">82 Colonnade Rd. N., Ottawa, ON K2E 7L2.</t>
  </si>
  <si>
    <t xml:space="preserve">Search charitydata.ca for Redeemer Christian High School Ottawa</t>
  </si>
  <si>
    <t xml:space="preserve">North Toronto Christian School</t>
  </si>
  <si>
    <t xml:space="preserve">North York, ON</t>
  </si>
  <si>
    <t xml:space="preserve">ntcs.on.ca</t>
  </si>
  <si>
    <t xml:space="preserve">416-491-7667</t>
  </si>
  <si>
    <t xml:space="preserve">255 Yorkland Blvd, North York, ON M2J 1S3.</t>
  </si>
  <si>
    <t xml:space="preserve">Search charitydata.ca for North Toronto Christian School</t>
  </si>
  <si>
    <t xml:space="preserve">Toronto market.</t>
  </si>
  <si>
    <t xml:space="preserve">Great Lakes Christian High School</t>
  </si>
  <si>
    <t xml:space="preserve">Beamsville, ON</t>
  </si>
  <si>
    <t xml:space="preserve">glchs.on.ca</t>
  </si>
  <si>
    <t xml:space="preserve">905-563-5374</t>
  </si>
  <si>
    <t xml:space="preserve">4875 King St, Beamsville, ON L3J 2J1.</t>
  </si>
  <si>
    <t xml:space="preserve">Search charitydata.ca for Great Lakes Christian High School</t>
  </si>
  <si>
    <t xml:space="preserve">Fort Erie, ON</t>
  </si>
  <si>
    <t xml:space="preserve">7-12</t>
  </si>
  <si>
    <t xml:space="preserve">niagaracc.com</t>
  </si>
  <si>
    <t xml:space="preserve">905-871-6980</t>
  </si>
  <si>
    <t xml:space="preserve">2619 Niagara Pkwy, Fort Erie, ON L2A 5M4.</t>
  </si>
  <si>
    <t xml:space="preserve">Search charitydata.ca for Niagara Christian Collegiate</t>
  </si>
  <si>
    <t xml:space="preserve">Smithville Christian High School</t>
  </si>
  <si>
    <t xml:space="preserve">Smithville, ON</t>
  </si>
  <si>
    <t xml:space="preserve">smithvillechristian.ca</t>
  </si>
  <si>
    <t xml:space="preserve">905-957-3255</t>
  </si>
  <si>
    <t xml:space="preserve">6488 Townline Road, P.O. Box 40, Smithville, ON L0R 2A0.</t>
  </si>
  <si>
    <t xml:space="preserve">Search charitydata.ca for Smithville Christian High School</t>
  </si>
  <si>
    <t xml:space="preserve">Niagara/Hamilton area.</t>
  </si>
  <si>
    <t xml:space="preserve">Ottawa Christian School</t>
  </si>
  <si>
    <t xml:space="preserve">ottawachristianschool.ca</t>
  </si>
  <si>
    <t xml:space="preserve">613-825-3000</t>
  </si>
  <si>
    <t xml:space="preserve">255 Tartan Drive, Ottawa, ON K2J 3T1.</t>
  </si>
  <si>
    <t xml:space="preserve">Search charitydata.ca for Ottawa Christian School</t>
  </si>
  <si>
    <t xml:space="preserve">Mississauga Christian Academy</t>
  </si>
  <si>
    <t xml:space="preserve">Mississauga, ON</t>
  </si>
  <si>
    <t xml:space="preserve">905-826-4114</t>
  </si>
  <si>
    <t xml:space="preserve">2720 Gananoque Drive, Mississauga, ON L5N 2R2.</t>
  </si>
  <si>
    <t xml:space="preserve">Search charitydata.ca for Mississauga Christian Academy</t>
  </si>
  <si>
    <t xml:space="preserve">GTA West.</t>
  </si>
  <si>
    <t xml:space="preserve">Kingston Christian School</t>
  </si>
  <si>
    <t xml:space="preserve">Kingston, ON</t>
  </si>
  <si>
    <t xml:space="preserve">613-384-9572</t>
  </si>
  <si>
    <t xml:space="preserve">1212 Woodbine Rd., Kingston, ON K7L 4V2.</t>
  </si>
  <si>
    <t xml:space="preserve">Search charitydata.ca for Kingston Christian School</t>
  </si>
  <si>
    <t xml:space="preserve">Kingston area.</t>
  </si>
  <si>
    <t xml:space="preserve">NOTE: Full Edvance list has ~95 schools across Ontario + PEI. See edvance.ca/schools for complete directory.</t>
  </si>
  <si>
    <t xml:space="preserve">Additional schools not listed above include: Timothy Christian (Barrie, Owen Sound, Etobicoke, Hamilton, Williamsburg), Burlington Christian Academy, Guelph Community Christian, London Christian (Academy + Elementary + High), Cambridge Christian, Brampton Christian, Chatham Christian, Sarnia Christian, Brantford Christian, and many more small elementary schools.</t>
  </si>
  <si>
    <t xml:space="preserve">Type</t>
  </si>
  <si>
    <t xml:space="preserve">Contact</t>
  </si>
  <si>
    <t xml:space="preserve">ED/Manager</t>
  </si>
  <si>
    <t xml:space="preserve">Artistic Director</t>
  </si>
  <si>
    <t xml:space="preserve">Board / Key Info</t>
  </si>
  <si>
    <t xml:space="preserve">Sweet Spot Notes</t>
  </si>
  <si>
    <t xml:space="preserve">Chorus Niagara</t>
  </si>
  <si>
    <t xml:space="preserve">Symphonic Chorus (~100 voices)</t>
  </si>
  <si>
    <t xml:space="preserve">chorusniagara.org</t>
  </si>
  <si>
    <t xml:space="preserve">905-932-6642 | chorusniagara100@gmail.com</t>
  </si>
  <si>
    <t xml:space="preserve">Maija Saari (General Director)</t>
  </si>
  <si>
    <t xml:space="preserve">Kathleen Allan</t>
  </si>
  <si>
    <t xml:space="preserve">Judy Willems (Chair)</t>
  </si>
  <si>
    <t xml:space="preserve">Jeff Baker (VC), John Senn (Treasurer), Hugh Gayler (Secretary), Sue Biggs (Development), Julia D'Amico (Comms), Daryl Novak (Governance). Charity #775203672RR0001. Est. 1963. Includes Children's Choir. Resident at FirstOntario PAC.</t>
  </si>
  <si>
    <t xml:space="preserve">Search charitydata.ca for Chorus Niagara 775203672RR0001</t>
  </si>
  <si>
    <t xml:space="preserve">STRONG PROSPECT. Similar to Peterborough Singers. ~100 voices. Volunteer board with named Development director. General Director but likely no dedicated fundraiser. Check CharityData for revenue.</t>
  </si>
  <si>
    <t xml:space="preserve">Cantabile Choirs of Kingston</t>
  </si>
  <si>
    <t xml:space="preserve">Multi-choir org (6 choirs, 250+ singers)</t>
  </si>
  <si>
    <t xml:space="preserve">cantabilechoirs.ca</t>
  </si>
  <si>
    <t xml:space="preserve">Dr. Mark Sirett (Founding AD), Geoffrey Sirett</t>
  </si>
  <si>
    <t xml:space="preserve">Six choirs from age 6 to adult. Award-winning. Strong community presence. Multiple seasons of programming.</t>
  </si>
  <si>
    <t xml:space="preserve">Search charitydata.ca for Cantabile Choirs Kingston</t>
  </si>
  <si>
    <t xml:space="preserve">STRONG PROSPECT. Multi-choir model. Community scale. Kingston market. Similar profile to what you could transform.</t>
  </si>
  <si>
    <t xml:space="preserve">Grand Philharmonic Choir</t>
  </si>
  <si>
    <t xml:space="preserve">Community Choir</t>
  </si>
  <si>
    <t xml:space="preserve">Kitchener-Waterloo, ON</t>
  </si>
  <si>
    <t xml:space="preserve">grandphilchoir.com</t>
  </si>
  <si>
    <t xml:space="preserve">Mark Vuorinen</t>
  </si>
  <si>
    <t xml:space="preserve">Waterloo Region's premier community choir. Same AD as Elora Singers. Collaborates with K-W Symphony musicians.</t>
  </si>
  <si>
    <t xml:space="preserve">Search charitydata.ca for Grand Philharmonic Choir</t>
  </si>
  <si>
    <t xml:space="preserve">STRONG PROSPECT. K-W region. Connected to Elora network. Community scale. Check if they have fundraising staff.</t>
  </si>
  <si>
    <t xml:space="preserve">Burlington Symphony Orchestra</t>
  </si>
  <si>
    <t xml:space="preserve">Community Orchestra</t>
  </si>
  <si>
    <t xml:space="preserve">Burlington, ON</t>
  </si>
  <si>
    <t xml:space="preserve">burlingtonsymphony.ca</t>
  </si>
  <si>
    <t xml:space="preserve">Board includes Melissa Shea (architect), Dylan (PhD, policy). Community orchestra with professional musicians. Halton region.</t>
  </si>
  <si>
    <t xml:space="preserve">Search charitydata.ca for Burlington Symphony Orchestra</t>
  </si>
  <si>
    <t xml:space="preserve">STRONG PROSPECT. Community orchestra. Strong board profile. Halton region. Likely volunteer fundraising.</t>
  </si>
  <si>
    <t xml:space="preserve">Ottawa Symphony Orchestra</t>
  </si>
  <si>
    <t xml:space="preserve">Professional Community Orchestra (~100 musicians)</t>
  </si>
  <si>
    <t xml:space="preserve">ottawasymphony.com</t>
  </si>
  <si>
    <t xml:space="preserve">Musician-led governance (post-pandemic)</t>
  </si>
  <si>
    <t xml:space="preserve">N/A (committee model)</t>
  </si>
  <si>
    <t xml:space="preserve">See Board of Directors page</t>
  </si>
  <si>
    <t xml:space="preserve">Founded 1965. Reorganized post-pandemic with Artistic Planning Committee. Community engagement focus. ~100 musicians.</t>
  </si>
  <si>
    <t xml:space="preserve">Search charitydata.ca for Ottawa Symphony Orchestra</t>
  </si>
  <si>
    <t xml:space="preserve">STRONG PROSPECT. Post-pandemic reorganization = may need fundraising help with new governance model. Large org but in transition.</t>
  </si>
  <si>
    <t xml:space="preserve">Scarborough Philharmonic Orchestra</t>
  </si>
  <si>
    <t xml:space="preserve">Scarborough/Toronto, ON</t>
  </si>
  <si>
    <t xml:space="preserve">spo.ca</t>
  </si>
  <si>
    <t xml:space="preserve">Ronald Royer (Music Director)</t>
  </si>
  <si>
    <t xml:space="preserve">Volunteer Board</t>
  </si>
  <si>
    <t xml:space="preserve">44th season. Mixed professional/amateur. Volunteer board. Very affordable concerts. New Generation Composers Workshop. Women's Choir.</t>
  </si>
  <si>
    <t xml:space="preserve">Search charitydata.ca for Scarborough Philharmonic Orchestra</t>
  </si>
  <si>
    <t xml:space="preserve">STRONG PROSPECT. Volunteer board. 44 years. Explicitly states they need donor support to survive. No development staff apparent.</t>
  </si>
  <si>
    <t xml:space="preserve">Ontario Philharmonic</t>
  </si>
  <si>
    <t xml:space="preserve">Regional Orchestra</t>
  </si>
  <si>
    <t xml:space="preserve">ontariophil.ca</t>
  </si>
  <si>
    <t xml:space="preserve">Marco Parisotto (Music Director)</t>
  </si>
  <si>
    <t xml:space="preserve">Durham Region professional orchestra. Post-pandemic recovery. Based in Oshawa.</t>
  </si>
  <si>
    <t xml:space="preserve">Search charitydata.ca for Ontario Philharmonic</t>
  </si>
  <si>
    <t xml:space="preserve">STRONG PROSPECT. Durham region. Post-pandemic recovery phase. Check CharityData for financial profile.</t>
  </si>
  <si>
    <t xml:space="preserve">Elora Singers / Elora Festival</t>
  </si>
  <si>
    <t xml:space="preserve">Professional Chamber Choir + Festival</t>
  </si>
  <si>
    <t xml:space="preserve">Elora, ON</t>
  </si>
  <si>
    <t xml:space="preserve">elorasingers.ca / elorafestival.ca</t>
  </si>
  <si>
    <t xml:space="preserve">519-846-0331 | info@elorafestival.com</t>
  </si>
  <si>
    <t xml:space="preserve">Christina Stelmacovich (Manager)</t>
  </si>
  <si>
    <t xml:space="preserve">Julie Wilson (Chair, Lawyer at Gowling WLG)</t>
  </si>
  <si>
    <t xml:space="preserve">Peter Barr (Past Chair, Retired Deloitte Partner), Justin Gorgi (Treasurer, CPA). Staff: Jess Henderson (Projects/Events), Evangeline Drost (Marketing/Box Office), Ben Taylor (IT). Grammy/JUNO nom. 12 NAXOS recordings. Blue Elephant does their marketing. Small team: AD + Manager + 3 staff/contractors.</t>
  </si>
  <si>
    <t xml:space="preserve">Search charitydata.ca for Elora Festival Singers</t>
  </si>
  <si>
    <t xml:space="preserve">Excellent org but already has professional management + outsourced marketing (Blue Elephant). May be too sophisticated for your entry point. But could need fundraising strategy.</t>
  </si>
  <si>
    <t xml:space="preserve">Toronto Mendelssohn Choir</t>
  </si>
  <si>
    <t xml:space="preserve">Major Symphonic Choir (160 voices)</t>
  </si>
  <si>
    <t xml:space="preserve">tmchoir.org</t>
  </si>
  <si>
    <t xml:space="preserve">Jean-Sebastien Vallee</t>
  </si>
  <si>
    <t xml:space="preserve">One of Canada's oldest (est. 1894). 160 voices + 24 professional core. Performs with TSO. Carnegie Hall history. 130+ years.</t>
  </si>
  <si>
    <t xml:space="preserve">Search charitydata.ca for Toronto Mendelssohn Choir</t>
  </si>
  <si>
    <t xml:space="preserve">TOO BIG. Almost certainly has professional development staff. Not your sweet spot.</t>
  </si>
  <si>
    <t xml:space="preserve">Orpheus Choir of Toronto</t>
  </si>
  <si>
    <t xml:space="preserve">Choral (specialized repertoire)</t>
  </si>
  <si>
    <t xml:space="preserve">orpheuschoirtoronto.com</t>
  </si>
  <si>
    <t xml:space="preserve">Thomas Burton</t>
  </si>
  <si>
    <t xml:space="preserve">60th anniversary. New/rarely heard choral music. Sidgwick Scholar program. Vocal Apprentice Program.</t>
  </si>
  <si>
    <t xml:space="preserve">Search charitydata.ca for Orpheus Choir Toronto</t>
  </si>
  <si>
    <t xml:space="preserve">Specialized niche. 60 years. Check CharityData to see if they're in the sweet spot financially.</t>
  </si>
  <si>
    <t xml:space="preserve">Talisker Players</t>
  </si>
  <si>
    <t xml:space="preserve">Chamber Ensemble</t>
  </si>
  <si>
    <t xml:space="preserve">taliskerplayers.ca</t>
  </si>
  <si>
    <t xml:space="preserve">Musicians in Residence at Massey College, U of T. Choral-accompanying ensemble. Registered charity. Works with dozens of Ontario choirs.</t>
  </si>
  <si>
    <t xml:space="preserve">Search charitydata.ca for Talisker Players</t>
  </si>
  <si>
    <t xml:space="preserve">Niche ensemble. May be too small for consulting engagement.</t>
  </si>
  <si>
    <t xml:space="preserve">Chorus Niagara Children's Choir</t>
  </si>
  <si>
    <t xml:space="preserve">Children's Choral</t>
  </si>
  <si>
    <t xml:space="preserve">chorusniagaracc.org</t>
  </si>
  <si>
    <t xml:space="preserve">Amanda (AD, 11th season)</t>
  </si>
  <si>
    <t xml:space="preserve">Four choirs ages 3-18. Gold MusicFest Canada 2018+2023. Carnegie Hall 2023. Connected to Chorus Niagara.</t>
  </si>
  <si>
    <t xml:space="preserve">Search charitydata.ca for Chorus Niagara Children</t>
  </si>
  <si>
    <t xml:space="preserve">Connected to Chorus Niagara. Could be part of a package deal.</t>
  </si>
  <si>
    <t xml:space="preserve">Kitchener-Waterloo Symphony</t>
  </si>
  <si>
    <t xml:space="preserve">Professional Orchestra (rebuilding)</t>
  </si>
  <si>
    <t xml:space="preserve">Kitchener, ON</t>
  </si>
  <si>
    <t xml:space="preserve">kwsymphony.com</t>
  </si>
  <si>
    <t xml:space="preserve">New board (elected June 2024)</t>
  </si>
  <si>
    <t xml:space="preserve">New board elected June 2024</t>
  </si>
  <si>
    <t xml:space="preserve">MAJOR STORY: Bankruptcy Sept 2023. New board June 2024. Bankruptcy annulled Oct 2024. Returned 2025-26 season. Rebuilding from scratch.</t>
  </si>
  <si>
    <t xml:space="preserve">Search charitydata.ca for Kitchener-Waterloo Symphony Orchestra</t>
  </si>
  <si>
    <t xml:space="preserve">Massive need but may not have budget. Rebuilding post-bankruptcy. Worth monitoring.</t>
  </si>
  <si>
    <t xml:space="preserve">CRA T3010 Financial Data (Open Canada 2023 Dataset) -- Green = In Sweet Spot | Red = Outside Sweet Spot | Sweet Spot: Revenue $200K-$2M, Fundraising Exp &lt;$50K, Consulting &lt;$25K</t>
  </si>
  <si>
    <t xml:space="preserve">Fiscal Year End</t>
  </si>
  <si>
    <t xml:space="preserve">Total Revenue
(Line 4700)</t>
  </si>
  <si>
    <t xml:space="preserve">Receipted Donations
(Line 4500)</t>
  </si>
  <si>
    <t xml:space="preserve">Non-Receipted Donations
(Line 4510)</t>
  </si>
  <si>
    <t xml:space="preserve">Gov't Funding
(Line 4540)</t>
  </si>
  <si>
    <t xml:space="preserve">Special Events Revenue
(Line 4630)</t>
  </si>
  <si>
    <t xml:space="preserve">Special Events Costs
(Line 4640)</t>
  </si>
  <si>
    <t xml:space="preserve">Total Assets
(Line 4200)</t>
  </si>
  <si>
    <t xml:space="preserve">Total Liabilities
(Line 4350)</t>
  </si>
  <si>
    <t xml:space="preserve">Fundraising Expenditure
(Line 5020)</t>
  </si>
  <si>
    <t xml:space="preserve">Professional/Consulting Fees
(Line 4860)</t>
  </si>
  <si>
    <t xml:space="preserve">Total Expenditures
(Line 4950)</t>
  </si>
  <si>
    <t xml:space="preserve">Charitable Programs
(Line 5000)</t>
  </si>
  <si>
    <t xml:space="preserve">Management/Admin
(Line 5010)</t>
  </si>
  <si>
    <t xml:space="preserve">Donations as % of Revenue</t>
  </si>
  <si>
    <t xml:space="preserve">Fundraising Exp as % of Revenue</t>
  </si>
  <si>
    <t xml:space="preserve">Consulting Fees as % of Revenue</t>
  </si>
  <si>
    <t xml:space="preserve">Fundraising Methods</t>
  </si>
  <si>
    <t xml:space="preserve">Board Members</t>
  </si>
  <si>
    <t xml:space="preserve">871437968RR0001</t>
  </si>
  <si>
    <t xml:space="preserve">Auctions, Dinners/Galas, Mail, Phone, Planned Giving</t>
  </si>
  <si>
    <t xml:space="preserve">Judy Willems (Chair of Board)</t>
  </si>
  <si>
    <t xml:space="preserve">Kenneth Pettigrew (Chair), Jeff Baker (VC), Suzanne Culp (Treasurer), Hugh Gayler (Secretary), Sue Biggs (Development), Julia D'Amico (Marketing), Daryl Novak (Governance), Tim Frazer (Programme), John Senn (Finance), Allison Baker (Membership), Ruth MacVicar, Elise Naccarato (Managing Dir), Ursula Witkowska (General Dir)</t>
  </si>
  <si>
    <t xml:space="preserve">STRONG PROSPECT. Revenue $366K in sweet spot. Fundraising spend only $12.9K (3.5% of rev) = minimal systematic fundraising. BUT consulting fees $140K is high -- check what this covers. Receipted donations $71K = room to grow. Has Development Chair on board (Sue Biggs) but likely volunteer role.</t>
  </si>
  <si>
    <t xml:space="preserve">895487296RR0001</t>
  </si>
  <si>
    <t xml:space="preserve">Dinners/Galas, Phone, Special Events</t>
  </si>
  <si>
    <t xml:space="preserve">Stephen Gammon (Treasurer), Danielle Gugler (Secretary), Geoffrey Sirett, Adam Gordon, Les Casson, Michael Cooke, Helen Rutledge, Kathy Yan Li, David Strontg</t>
  </si>
  <si>
    <t xml:space="preserve">EXCELLENT PROSPECT. Revenue $386K, $0 fundraising spend, only $24K consulting. Receipted donations $135K already decent but ZERO fundraising infrastructure. Strong financial position ($347K assets). Kingston market. Perfect entry point for fundraising consulting.</t>
  </si>
  <si>
    <t xml:space="preserve">118983568RR0001</t>
  </si>
  <si>
    <t xml:space="preserve">Auctions, Mail, Email, Phone, Planned Giving, Special Events, Targeted Contacts</t>
  </si>
  <si>
    <t xml:space="preserve">Kenneth Seiling (Chair)</t>
  </si>
  <si>
    <t xml:space="preserve">Nancy Regehr (Past Chair &amp; Sec), David Taylor (Treasurer), Rachel Behling, John Imrie, Wendy Imrie, Heather Ivall, Shermeen Kahn, Andrew Mellanby, Sean Simpson, Holly Harkins-Manning</t>
  </si>
  <si>
    <t xml:space="preserve">MODERATE PROSPECT. Revenue $441K in sweet spot. Already has $178K receipted donations and uses 8 fundraising methods = more sophisticated. $32K fundraising spend. BUT consulting fees $261K is very high -- likely paying AD and musicians. May already have professional fundraising advice. Worth investigating what the consulting covers.</t>
  </si>
  <si>
    <t xml:space="preserve">118946748RR0001</t>
  </si>
  <si>
    <t xml:space="preserve">Auctions, Email, Special Events</t>
  </si>
  <si>
    <t xml:space="preserve">See CRA filing for names</t>
  </si>
  <si>
    <t xml:space="preserve">GOOD PROSPECT but on smaller side. Revenue $160K (below $200K threshold). Only $10.5K in receipted donations = almost no donor program. $11.5K fundraising spend. Consulting $79K likely musician fees. Very lean operation with only $43K assets. Could benefit hugely from fundraising strategy but may not have budget for consulting.</t>
  </si>
  <si>
    <t xml:space="preserve">119071876RR0001</t>
  </si>
  <si>
    <t xml:space="preserve">Auctions, Email, Phone, Planned Giving, Special Events</t>
  </si>
  <si>
    <t xml:space="preserve">Bernard Etzinger (Chair)</t>
  </si>
  <si>
    <t xml:space="preserve">Anna Jahn (VC), Ada Kwok (Treasurer), Venassa Baptiste (Asst Treasurer), Tayler Farrell (Secretary), Kyle Lambert (Secretary), Sarah Devlin (ED), Katherine Holmes, Alexis Nickson, Lara Deutsch (Musicians Rep), Travis Mandel (Musicians Rep), Adam Salmond</t>
  </si>
  <si>
    <t xml:space="preserve">STRONG PROSPECT. Revenue $425K, only $1.5K fundraising spend (basically zero). $92K receipted donations with room to grow. $61K gov funding. Has ED (Sarah Devlin) and reorganized post-pandemic. Musician-led governance model means fundraising likely not a priority yet. Strong need for fundraising infrastructure.</t>
  </si>
  <si>
    <t xml:space="preserve">119142370RR0001</t>
  </si>
  <si>
    <t xml:space="preserve">2023-05-31</t>
  </si>
  <si>
    <t xml:space="preserve">Auctions, Dinners/Galas</t>
  </si>
  <si>
    <t xml:space="preserve">See website (Volunteer Board)</t>
  </si>
  <si>
    <t xml:space="preserve">David Livingston (Sec-Treasurer), Paul Tichauer (Treasurer), Carol Baker (Secretary), Paul Bolton, Heather Castrucci, Steven Newman, Bob Soja, Dean Mercer, Bruno Degazio, Lynda Hester, Ally Ladak, Ted Runcie</t>
  </si>
  <si>
    <t xml:space="preserve">EXCELLENT PROSPECT. Revenue $222K in sweet spot. ZERO fundraising spend. Only $5.5K consulting. Only $15K receipted donations but $52K non-receipted + $107K from events = heavily event-dependent. Only uses auctions + galas for fundraising = very unsophisticated. Volunteer board. Explicitly states need for donor support. Perfect client.</t>
  </si>
  <si>
    <t xml:space="preserve">119070845RR0001</t>
  </si>
  <si>
    <t xml:space="preserve">Dinners/Galas, Mail, Planned Giving</t>
  </si>
  <si>
    <t xml:space="preserve">Sherwood Bassin (Chair)</t>
  </si>
  <si>
    <t xml:space="preserve">Emily Hughes (VC), Ivano Labricciosa (Secretary), John Green, Eugene Oscapella, Leon Efraim, Walter Fernandez, Joel Nascimento, Shashi Bhatia, James Rough</t>
  </si>
  <si>
    <t xml:space="preserve">STRONG PROSPECT. Revenue $447K but NEGATIVE net assets ($17K assets vs $80K liabilities) = financial stress. ZERO fundraising spend, only $4K consulting. Heavily dependent on special events ($236K = 53% of revenue) and gov grants ($103K). Only $46K receipted donations. Durham region. Urgent need for diversified fundraising strategy.</t>
  </si>
  <si>
    <t xml:space="preserve">Elora Singers</t>
  </si>
  <si>
    <t xml:space="preserve">135807824RR0001</t>
  </si>
  <si>
    <t xml:space="preserve">2023-09-30</t>
  </si>
  <si>
    <t xml:space="preserve">Dinners/Galas, Email, Phone, Internet, Planned Giving, Special Events</t>
  </si>
  <si>
    <t xml:space="preserve">Peter Barr (Past Chair, Retired Deloitte Partner), Justin Gorgi (Treasurer, CPA)</t>
  </si>
  <si>
    <t xml:space="preserve">MODERATE PROSPECT. Revenue $484K but already spending $53K on fundraising and uses 7 methods = more sophisticated. Only $16K receipted donations is surprisingly low for their profile. $100K gov funding. High liabilities ($165K). Has professional management. May be too sophisticated for entry point but could need fundraising STRATEGY even if they already have some infrastructure.</t>
  </si>
  <si>
    <t xml:space="preserve">NORTHMOUNT SCHOOL FOR BOYS - CharityData Financial Profile</t>
  </si>
  <si>
    <t xml:space="preserve">This is an example of the data available on charitydata.ca for EACH organization. Use this as a template for what to look up.</t>
  </si>
  <si>
    <t xml:space="preserve">KEY FINANCIAL METRICS</t>
  </si>
  <si>
    <t xml:space="preserve">2024</t>
  </si>
  <si>
    <t xml:space="preserve">Total Revenue (line 4700)</t>
  </si>
  <si>
    <t xml:space="preserve">$4,022,974</t>
  </si>
  <si>
    <t xml:space="preserve">Receipted Donations (line 4500)</t>
  </si>
  <si>
    <t xml:space="preserve">$585,672</t>
  </si>
  <si>
    <t xml:space="preserve">Revenue from other charities (line 4510)</t>
  </si>
  <si>
    <t xml:space="preserve">$64,820</t>
  </si>
  <si>
    <t xml:space="preserve">Non-receipted fundraising revenue (line 4630)</t>
  </si>
  <si>
    <t xml:space="preserve">$2,155,403</t>
  </si>
  <si>
    <t xml:space="preserve">Other revenue (line 4650)</t>
  </si>
  <si>
    <t xml:space="preserve">$1,068,799</t>
  </si>
  <si>
    <t xml:space="preserve">Total Expenditures (line 5100)</t>
  </si>
  <si>
    <t xml:space="preserve">$3,421,843</t>
  </si>
  <si>
    <t xml:space="preserve">Expenditures on charitable activities (5000)</t>
  </si>
  <si>
    <t xml:space="preserve">$3,305,863</t>
  </si>
  <si>
    <t xml:space="preserve">Fundraising expenditures (line 5020)</t>
  </si>
  <si>
    <t xml:space="preserve">$47,366</t>
  </si>
  <si>
    <t xml:space="preserve">Management/admin expenditures (5010)</t>
  </si>
  <si>
    <t xml:space="preserve">$59,114</t>
  </si>
  <si>
    <t xml:space="preserve">Professional/consulting fees (line 4860)</t>
  </si>
  <si>
    <t xml:space="preserve">$17,981</t>
  </si>
  <si>
    <t xml:space="preserve">Total compensation (line 4880)</t>
  </si>
  <si>
    <t xml:space="preserve">$2,374,940</t>
  </si>
  <si>
    <t xml:space="preserve">STAFF</t>
  </si>
  <si>
    <t xml:space="preserve">Full-time employees</t>
  </si>
  <si>
    <t xml:space="preserve">18</t>
  </si>
  <si>
    <t xml:space="preserve">Part-time employees</t>
  </si>
  <si>
    <t xml:space="preserve">1</t>
  </si>
  <si>
    <t xml:space="preserve">Highest paid: $80K-$120K range</t>
  </si>
  <si>
    <t xml:space="preserve">9 employees</t>
  </si>
  <si>
    <t xml:space="preserve">Highest paid: $120K-$160K range</t>
  </si>
  <si>
    <t xml:space="preserve">1 employee</t>
  </si>
  <si>
    <t xml:space="preserve">BOARD OF DIRECTORS</t>
  </si>
  <si>
    <t xml:space="preserve">Chair</t>
  </si>
  <si>
    <t xml:space="preserve">Keith McLean (since 2009)</t>
  </si>
  <si>
    <t xml:space="preserve">Treasurer</t>
  </si>
  <si>
    <t xml:space="preserve">Daniel Stronach (since 2007)</t>
  </si>
  <si>
    <t xml:space="preserve">Directors</t>
  </si>
  <si>
    <t xml:space="preserve">Sean Bayley (2014), Robin Di Tosto (2023), Michael Duffy (2011), Gerard McCabe (2014), Oscar Roque (2024), Vasily Zadorojny (2023)</t>
  </si>
  <si>
    <t xml:space="preserve">FUNDRAISING METHODS</t>
  </si>
  <si>
    <t xml:space="preserve">Methods used</t>
  </si>
  <si>
    <t xml:space="preserve">Auctions, Fundraising dinners/galas, Targeted contacts</t>
  </si>
  <si>
    <t xml:space="preserve">External fundraisers paid?</t>
  </si>
  <si>
    <t xml:space="preserve">No</t>
  </si>
  <si>
    <t xml:space="preserve">TOP DONORS (from other charities)</t>
  </si>
  <si>
    <t xml:space="preserve">Lamb Foundation (Toronto)</t>
  </si>
  <si>
    <t xml:space="preserve">$1,170,040 (2024)</t>
  </si>
  <si>
    <t xml:space="preserve">Northmount Foundation Inc.</t>
  </si>
  <si>
    <t xml:space="preserve">Historical major donor</t>
  </si>
  <si>
    <t xml:space="preserve">WHAT TO LOOK FOR IN SWEET SPOT PROSPECTS</t>
  </si>
  <si>
    <t xml:space="preserve">Revenue</t>
  </si>
  <si>
    <t xml:space="preserve">$200K-$2M (big enough to afford you, small enough to need you)</t>
  </si>
  <si>
    <t xml:space="preserve">Receipted donations</t>
  </si>
  <si>
    <t xml:space="preserve">Low relative to revenue = untapped donor potential</t>
  </si>
  <si>
    <t xml:space="preserve">Fundraising expenditures</t>
  </si>
  <si>
    <t xml:space="preserve">Under $50K = no systematic fundraising program</t>
  </si>
  <si>
    <t xml:space="preserve">Consulting fees</t>
  </si>
  <si>
    <t xml:space="preserve">Under $25K = not currently using external help</t>
  </si>
  <si>
    <t xml:space="preserve">Staff</t>
  </si>
  <si>
    <t xml:space="preserve">Under 5 FT = no room for a dedicated development person</t>
  </si>
  <si>
    <t xml:space="preserve">Fundraising methods</t>
  </si>
  <si>
    <t xml:space="preserve">If only 'dinners/galas' and no 'targeted contacts' or 'mail campaigns' = unsophisticated fundraising</t>
  </si>
  <si>
    <t xml:space="preserve">External fundraisers</t>
  </si>
  <si>
    <t xml:space="preserve">'No' = they haven't hired help before (opportunity or red flag)</t>
  </si>
  <si>
    <t xml:space="preserve">Association</t>
  </si>
  <si>
    <t xml:space="preserve">Contact / Notes</t>
  </si>
  <si>
    <t xml:space="preserve">Why It Matters</t>
  </si>
  <si>
    <t xml:space="preserve">CIOCS</t>
  </si>
  <si>
    <t xml:space="preserve">Catholic School Network</t>
  </si>
  <si>
    <t xml:space="preserve">ciocs.ca</t>
  </si>
  <si>
    <t xml:space="preserve">See steering committee page. Newer consortium.</t>
  </si>
  <si>
    <t xml:space="preserve">Central hub for independent Catholic schools in Ontario. Present at their events to reach multiple schools.</t>
  </si>
  <si>
    <t xml:space="preserve">Edvance Christian Schools</t>
  </si>
  <si>
    <t xml:space="preserve">Christian School Network (~88 schools)</t>
  </si>
  <si>
    <t xml:space="preserve">edvance.ca</t>
  </si>
  <si>
    <t xml:space="preserve">web@edvance.ca | 289-203-7171 | 1295 North Service Rd, Suite 304, Burlington, ON</t>
  </si>
  <si>
    <t xml:space="preserve">Largest Christian school association in Ontario/eastern Canada. ~88 affiliates. Hosts conferences, leadership cohorts. Present at events.</t>
  </si>
  <si>
    <t xml:space="preserve">OFIS</t>
  </si>
  <si>
    <t xml:space="preserve">Independent School Network</t>
  </si>
  <si>
    <t xml:space="preserve">ofis.ca</t>
  </si>
  <si>
    <t xml:space="preserve">Board Chair: Glen Woolner. 50+ years.</t>
  </si>
  <si>
    <t xml:space="preserve">Broadest independent school network. Includes all types. Good for expanding beyond religious schools.</t>
  </si>
  <si>
    <t xml:space="preserve">CIS Ontario</t>
  </si>
  <si>
    <t xml:space="preserve">cisontario.ca</t>
  </si>
  <si>
    <t xml:space="preserve">See website.</t>
  </si>
  <si>
    <t xml:space="preserve">Accreditation body. More established/larger schools. Schools with existing development programs.</t>
  </si>
  <si>
    <t xml:space="preserve">Choirs Ontario</t>
  </si>
  <si>
    <t xml:space="preserve">Provincial Arts Service (~300+ choirs)</t>
  </si>
  <si>
    <t xml:space="preserve">choirsontario.org</t>
  </si>
  <si>
    <t xml:space="preserve">President: Mark Vuorinen. 300+ member choirs.</t>
  </si>
  <si>
    <t xml:space="preserve">Central directory of Ontario choirs. Reach choral organizations at conferences/events.</t>
  </si>
  <si>
    <t xml:space="preserve">Choral Canada</t>
  </si>
  <si>
    <t xml:space="preserve">National Choral Network</t>
  </si>
  <si>
    <t xml:space="preserve">choralcanada.org</t>
  </si>
  <si>
    <t xml:space="preserve">National body.</t>
  </si>
  <si>
    <t xml:space="preserve">National perspective. Useful for expanding beyond Ontario.</t>
  </si>
  <si>
    <t xml:space="preserve">Orchestras Canada</t>
  </si>
  <si>
    <t xml:space="preserve">National Orchestra Network</t>
  </si>
  <si>
    <t xml:space="preserve">orchestrascanada.org</t>
  </si>
  <si>
    <t xml:space="preserve">Service org for orchestras. Community orchestras across Canada.</t>
  </si>
  <si>
    <t xml:space="preserve">Christian Schools Canada</t>
  </si>
  <si>
    <t xml:space="preserve">National Conference</t>
  </si>
  <si>
    <t xml:space="preserve">christianschoolscanada.com</t>
  </si>
  <si>
    <t xml:space="preserve">2026 Conference in Whistler, BC.</t>
  </si>
  <si>
    <t xml:space="preserve">National conference. Speaking/networking opportunity.</t>
  </si>
  <si>
    <t xml:space="preserve">HOW TO PULL FINANCIAL DATA FROM CHARITYDATA.CA</t>
  </si>
  <si>
    <t xml:space="preserve">Step 1: Go to charitydata.ca</t>
  </si>
  <si>
    <t xml:space="preserve">Step 2: Search by organization name</t>
  </si>
  <si>
    <t xml:space="preserve">Step 3: Click on the charity to view its full profile</t>
  </si>
  <si>
    <t xml:space="preserve">Step 4: Record the following key metrics in your prospect tracker:</t>
  </si>
  <si>
    <t xml:space="preserve">KEY METRICS TO RECORD:</t>
  </si>
  <si>
    <t xml:space="preserve">- Total Revenue (line 4700): Overall org size</t>
  </si>
  <si>
    <t xml:space="preserve">- Receipted Donations (line 4500): How much they raise from individual donors</t>
  </si>
  <si>
    <t xml:space="preserve">- Non-receipted fundraising revenue (line 4630): Events, galas, etc.</t>
  </si>
  <si>
    <t xml:space="preserve">- Total Expenditures (line 5100): Operating scale</t>
  </si>
  <si>
    <t xml:space="preserve">- Fundraising expenditures (line 5020): How much they currently invest in fundraising</t>
  </si>
  <si>
    <t xml:space="preserve">- Professional/consulting fees (line 4860): Shows if they already hire external help</t>
  </si>
  <si>
    <t xml:space="preserve">- Staff count (lines 300, 370): How many FT and PT employees</t>
  </si>
  <si>
    <t xml:space="preserve">- Total compensation (line 390): Staff cost burden</t>
  </si>
  <si>
    <t xml:space="preserve">- Directors list: Names, positions, appointment dates</t>
  </si>
  <si>
    <t xml:space="preserve">- Fundraising methods: Which methods they report using</t>
  </si>
  <si>
    <t xml:space="preserve">- Gifts from other charities: Who else is funding them</t>
  </si>
  <si>
    <t xml:space="preserve">YOUR SWEET SPOT FILTER:</t>
  </si>
  <si>
    <t xml:space="preserve">Total Revenue: $200K - $2M</t>
  </si>
  <si>
    <t xml:space="preserve">Receipted Donations: Low relative to revenue (untapped potential)</t>
  </si>
  <si>
    <t xml:space="preserve">Fundraising Spend: Under $50K (no systematic program)</t>
  </si>
  <si>
    <t xml:space="preserve">Consulting Fees: Under $25K (not using external help)</t>
  </si>
  <si>
    <t xml:space="preserve">Staff: Under 10 FT (no room for dedicated development person)</t>
  </si>
  <si>
    <t xml:space="preserve">Fundraising Methods: Limited (dinners/galas only, no planned giving, no mail campaigns)</t>
  </si>
  <si>
    <t xml:space="preserve">BROWSER METHOD (confirmed working):</t>
  </si>
  <si>
    <t xml:space="preserve">I confirmed that Claude's browser tools can read CharityData pages.</t>
  </si>
  <si>
    <t xml:space="preserve">In a follow-up conversation, ask me to pull CharityData for specific orgs</t>
  </si>
  <si>
    <t xml:space="preserve">and I can extract the full financial profile for each one.</t>
  </si>
  <si>
    <t xml:space="preserve">EXPANDED CATHOLIC SCHOOLS (AB, SK, QC, non-CIOCS ON) - CRA T3010 Financial Data (2023)</t>
  </si>
  <si>
    <t xml:space="preserve">Sweet Spot: Rev $200K-$2M | Fundraising Exp &lt;$50K | Consulting &lt;$25K</t>
  </si>
  <si>
    <t xml:space="preserve">Organization Name</t>
  </si>
  <si>
    <t xml:space="preserve">City</t>
  </si>
  <si>
    <t xml:space="preserve">Province</t>
  </si>
  <si>
    <t xml:space="preserve">FY End</t>
  </si>
  <si>
    <t xml:space="preserve">Total Revenue</t>
  </si>
  <si>
    <t xml:space="preserve">Receipted Donations</t>
  </si>
  <si>
    <t xml:space="preserve">Non-Receipted Donations</t>
  </si>
  <si>
    <t xml:space="preserve">Gov Funding</t>
  </si>
  <si>
    <t xml:space="preserve">Special Events Rev</t>
  </si>
  <si>
    <t xml:space="preserve">Total Assets</t>
  </si>
  <si>
    <t xml:space="preserve">Total Liabilities</t>
  </si>
  <si>
    <t xml:space="preserve">Fundraising Expenditure</t>
  </si>
  <si>
    <t xml:space="preserve">Consulting Fees</t>
  </si>
  <si>
    <t xml:space="preserve">Total Expenditures</t>
  </si>
  <si>
    <t xml:space="preserve">Charitable Programs</t>
  </si>
  <si>
    <t xml:space="preserve">Mgmt/Admin</t>
  </si>
  <si>
    <t xml:space="preserve">Compensation</t>
  </si>
  <si>
    <t xml:space="preserve">Donation %</t>
  </si>
  <si>
    <t xml:space="preserve">Fundraising %</t>
  </si>
  <si>
    <t xml:space="preserve">Board Size</t>
  </si>
  <si>
    <t xml:space="preserve">Board Chair/President</t>
  </si>
  <si>
    <t xml:space="preserve">Joan of Arc Academy</t>
  </si>
  <si>
    <t xml:space="preserve">Ottawa</t>
  </si>
  <si>
    <t xml:space="preserve">ON</t>
  </si>
  <si>
    <t xml:space="preserve">137230553RR0001</t>
  </si>
  <si>
    <t xml:space="preserve">email</t>
  </si>
  <si>
    <t xml:space="preserve">STRONG PROSPECT - Rev $2.3M slightly above sweet spot but $1M+ in donations with only $11K fundraising exp and $28K consulting. Massive untapped potential.</t>
  </si>
  <si>
    <t xml:space="preserve">Leonardo Da Vinci Academy</t>
  </si>
  <si>
    <t xml:space="preserve">Toronto</t>
  </si>
  <si>
    <t xml:space="preserve">119013589RR0001</t>
  </si>
  <si>
    <t xml:space="preserve">government</t>
  </si>
  <si>
    <t xml:space="preserve">STRONG PROSPECT - Rev $1.25M in sweet spot. Only $12K fundraising exp, $13K consulting. $140K special events shows some capacity. Small board (5).</t>
  </si>
  <si>
    <t xml:space="preserve">Priory School</t>
  </si>
  <si>
    <t xml:space="preserve">Montreal</t>
  </si>
  <si>
    <t xml:space="preserve">QC</t>
  </si>
  <si>
    <t xml:space="preserve">119252062RR0001</t>
  </si>
  <si>
    <t xml:space="preserve">(none reported)</t>
  </si>
  <si>
    <t xml:space="preserve">POSSIBLE - Rev $3.7M above sweet spot. $337K donations but ZERO fundraising exp and $65K consulting. English-language Montreal school. Could benefit from structured fundraising.</t>
  </si>
  <si>
    <t xml:space="preserve">College Rivier</t>
  </si>
  <si>
    <t xml:space="preserve">Coaticook</t>
  </si>
  <si>
    <t xml:space="preserve">107621443RR0001</t>
  </si>
  <si>
    <t xml:space="preserve">LAMOUREUX, Marie-Claude (Presidente)</t>
  </si>
  <si>
    <t xml:space="preserve">POSSIBLE - Rev $1.4M in sweet spot, virtually zero fundraising ($58). But $61K consulting and net liabilities. QC francophone market.</t>
  </si>
  <si>
    <t xml:space="preserve">Clear Water Academy</t>
  </si>
  <si>
    <t xml:space="preserve">Calgary</t>
  </si>
  <si>
    <t xml:space="preserve">AB</t>
  </si>
  <si>
    <t xml:space="preserve">893650259RR0001</t>
  </si>
  <si>
    <t xml:space="preserve">dinner/gala, mail, email, phone, special_events</t>
  </si>
  <si>
    <t xml:space="preserve">UNLIKELY - Rev $9M well above sweet spot. Already has multiple fundraising methods. $152K consulting. Very low donations ($12K) despite high revenue.</t>
  </si>
  <si>
    <t xml:space="preserve">Sacre-Coeur de Montreal</t>
  </si>
  <si>
    <t xml:space="preserve">107607822RR0001</t>
  </si>
  <si>
    <t xml:space="preserve">email, phone, corporate</t>
  </si>
  <si>
    <t xml:space="preserve">UNLIKELY - Rev $6.1M well above sweet spot. Net liabilities. Some fundraising methods but already doing email/phone/corporate.</t>
  </si>
  <si>
    <t xml:space="preserve">Seminaire Sainte-Marie</t>
  </si>
  <si>
    <t xml:space="preserve">Shawinigan</t>
  </si>
  <si>
    <t xml:space="preserve">107967002RR0001</t>
  </si>
  <si>
    <t xml:space="preserve">PELLETIER, Martin (President)</t>
  </si>
  <si>
    <t xml:space="preserve">UNLIKELY - Rev $4.2M well above sweet spot. $591K consulting already. Low donations ($55K). Francophone market.</t>
  </si>
  <si>
    <t xml:space="preserve">St. Michael's College School</t>
  </si>
  <si>
    <t xml:space="preserve">119191500RR0001</t>
  </si>
  <si>
    <t xml:space="preserve">auction, dinner/gala, email, phone, internet, planned_giving, targeted</t>
  </si>
  <si>
    <t xml:space="preserve">TOO LARGE - Rev $29.8M, $156M assets. Sophisticated fundraising: $1M+ fundraising exp, 7 methods, $9.3M donations. Fully mature operation.</t>
  </si>
  <si>
    <t xml:space="preserve">College Bourget</t>
  </si>
  <si>
    <t xml:space="preserve">Rigaud</t>
  </si>
  <si>
    <t xml:space="preserve">119011674RR0001</t>
  </si>
  <si>
    <t xml:space="preserve">BOURBONNAIS, Michel (President)</t>
  </si>
  <si>
    <t xml:space="preserve">TOO LARGE - Rev $29.8M. $1.56M consulting. Zero fundraising but massive scale.</t>
  </si>
  <si>
    <t xml:space="preserve">Athol Murray College</t>
  </si>
  <si>
    <t xml:space="preserve">Wilcox</t>
  </si>
  <si>
    <t xml:space="preserve">SK</t>
  </si>
  <si>
    <t xml:space="preserve">106735962RR0001</t>
  </si>
  <si>
    <t xml:space="preserve">MAYNARD, Murray (Chairman)</t>
  </si>
  <si>
    <t xml:space="preserve">auction, mail, email, phone, planned_giving, special_events, door_to_door, targeted</t>
  </si>
  <si>
    <t xml:space="preserve">TOO LARGE - Rev $14.2M. Already has sophisticated fundraising program with 8 methods, $393K fundraising exp, $1.05M consulting. Established operation.</t>
  </si>
  <si>
    <t xml:space="preserve">Loyola High School</t>
  </si>
  <si>
    <t xml:space="preserve">890643844RR0001</t>
  </si>
  <si>
    <t xml:space="preserve">TOO LARGE - Rev $13.6M. $1.2M consulting. $2M in donations but ZERO fundraising exp reported. Jesuit school.</t>
  </si>
  <si>
    <t xml:space="preserve">Ecole Marcelle-Mallet</t>
  </si>
  <si>
    <t xml:space="preserve">Levis</t>
  </si>
  <si>
    <t xml:space="preserve">106989999RR0001</t>
  </si>
  <si>
    <t xml:space="preserve">TOO LARGE - Rev $9.4M. $116K consulting. Zero fundraising despite $240K receipted donations.</t>
  </si>
  <si>
    <t xml:space="preserve">College St-Joseph de Hull</t>
  </si>
  <si>
    <t xml:space="preserve">Gatineau</t>
  </si>
  <si>
    <t xml:space="preserve">118892686RR0001</t>
  </si>
  <si>
    <t xml:space="preserve">PAQUIN, Nicole (Presidente)</t>
  </si>
  <si>
    <t xml:space="preserve">TOO LARGE - Rev $9.1M. $961K consulting already. Zero fundraising exp despite $548K receipted donations.</t>
  </si>
</sst>
</file>

<file path=xl/styles.xml><?xml version="1.0" encoding="utf-8"?>
<styleSheet xmlns="http://schemas.openxmlformats.org/spreadsheetml/2006/main">
  <numFmts count="4">
    <numFmt numFmtId="164" formatCode="General"/>
    <numFmt numFmtId="165" formatCode="#,##0"/>
    <numFmt numFmtId="166" formatCode="0.0%"/>
    <numFmt numFmtId="167" formatCode="\$#,##0"/>
  </numFmts>
  <fonts count="2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9"/>
      <color rgb="FF1F4E79"/>
      <name val="Arial"/>
      <family val="0"/>
      <charset val="1"/>
    </font>
    <font>
      <b val="true"/>
      <sz val="10"/>
      <color rgb="FFFFFFFF"/>
      <name val="Arial"/>
      <family val="0"/>
      <charset val="1"/>
    </font>
    <font>
      <b val="true"/>
      <sz val="9"/>
      <name val="Arial"/>
      <family val="0"/>
      <charset val="1"/>
    </font>
    <font>
      <sz val="8"/>
      <name val="Arial"/>
      <family val="0"/>
      <charset val="1"/>
    </font>
    <font>
      <sz val="9"/>
      <name val="Arial"/>
      <family val="0"/>
      <charset val="1"/>
    </font>
    <font>
      <b val="true"/>
      <sz val="9"/>
      <color rgb="FFFF0000"/>
      <name val="Arial"/>
      <family val="0"/>
      <charset val="1"/>
    </font>
    <font>
      <b val="true"/>
      <sz val="10"/>
      <color rgb="FFC8461C"/>
      <name val="Arial"/>
      <family val="0"/>
      <charset val="1"/>
    </font>
    <font>
      <b val="true"/>
      <sz val="10"/>
      <color rgb="FF1F4E79"/>
      <name val="Arial"/>
      <family val="0"/>
      <charset val="1"/>
    </font>
    <font>
      <b val="true"/>
      <sz val="10"/>
      <name val="Arial"/>
      <family val="0"/>
      <charset val="1"/>
    </font>
    <font>
      <b val="true"/>
      <sz val="14"/>
      <color rgb="FFC8461C"/>
      <name val="Arial"/>
      <family val="0"/>
      <charset val="1"/>
    </font>
    <font>
      <b val="true"/>
      <sz val="11"/>
      <color rgb="FFC8461C"/>
      <name val="Arial"/>
      <family val="0"/>
      <charset val="1"/>
    </font>
    <font>
      <b val="true"/>
      <sz val="12"/>
      <color rgb="FF2F5496"/>
      <name val="Cambria"/>
      <family val="0"/>
      <charset val="1"/>
    </font>
    <font>
      <i val="true"/>
      <sz val="10"/>
      <name val="Cambria"/>
      <family val="0"/>
      <charset val="1"/>
    </font>
    <font>
      <b val="true"/>
      <sz val="11"/>
      <color rgb="FFFFFFFF"/>
      <name val="Cambria"/>
      <family val="0"/>
      <charset val="1"/>
    </font>
  </fonts>
  <fills count="9">
    <fill>
      <patternFill patternType="none"/>
    </fill>
    <fill>
      <patternFill patternType="gray125"/>
    </fill>
    <fill>
      <patternFill patternType="solid">
        <fgColor rgb="FFC8461C"/>
        <bgColor rgb="FF993366"/>
      </patternFill>
    </fill>
    <fill>
      <patternFill patternType="solid">
        <fgColor rgb="FFFFF2CC"/>
        <bgColor rgb="FFFFFFFF"/>
      </patternFill>
    </fill>
    <fill>
      <patternFill patternType="solid">
        <fgColor rgb="FF1F4E79"/>
        <bgColor rgb="FF2F5496"/>
      </patternFill>
    </fill>
    <fill>
      <patternFill patternType="solid">
        <fgColor rgb="FFFFC7CE"/>
        <bgColor rgb="FFCCCCFF"/>
      </patternFill>
    </fill>
    <fill>
      <patternFill patternType="solid">
        <fgColor rgb="FFC6EFCE"/>
        <bgColor rgb="FFCCFFFF"/>
      </patternFill>
    </fill>
    <fill>
      <patternFill patternType="solid">
        <fgColor rgb="FFFFFF00"/>
        <bgColor rgb="FFFFFF00"/>
      </patternFill>
    </fill>
    <fill>
      <patternFill patternType="solid">
        <fgColor rgb="FF2F5496"/>
        <bgColor rgb="FF1F4E7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0" fillId="5"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5" fontId="10" fillId="6" borderId="1"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5" fillId="6"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false" applyAlignment="false" applyProtection="false">
      <alignment horizontal="general" vertical="bottom" textRotation="0" wrapText="false" indent="0" shrinkToFit="false"/>
      <protection locked="true" hidden="false"/>
    </xf>
    <xf numFmtId="164" fontId="19" fillId="8"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7" fontId="0" fillId="5" borderId="1" xfId="0" applyFont="false" applyBorder="true" applyAlignment="true" applyProtection="false">
      <alignment horizontal="general" vertical="bottom" textRotation="0" wrapText="true" indent="0" shrinkToFit="false"/>
      <protection locked="true" hidden="false"/>
    </xf>
    <xf numFmtId="167" fontId="0" fillId="0" borderId="1" xfId="0" applyFont="false" applyBorder="true" applyAlignment="true" applyProtection="false">
      <alignment horizontal="general" vertical="bottom" textRotation="0" wrapText="true" indent="0" shrinkToFit="false"/>
      <protection locked="true" hidden="false"/>
    </xf>
    <xf numFmtId="167" fontId="0" fillId="6" borderId="1" xfId="0" applyFont="false" applyBorder="true" applyAlignment="true" applyProtection="false">
      <alignment horizontal="general" vertical="bottom" textRotation="0" wrapText="true" indent="0" shrinkToFit="false"/>
      <protection locked="true" hidden="false"/>
    </xf>
    <xf numFmtId="166" fontId="0" fillId="0" borderId="1" xfId="0" applyFont="fals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4E79"/>
      <rgbColor rgb="FF339966"/>
      <rgbColor rgb="FF003300"/>
      <rgbColor rgb="FF333300"/>
      <rgbColor rgb="FFC8461C"/>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8"/>
    <col collapsed="false" customWidth="true" hidden="false" outlineLevel="0" max="4" min="4" style="1" width="25"/>
    <col collapsed="false" customWidth="true" hidden="false" outlineLevel="0" max="5" min="5" style="1" width="15"/>
    <col collapsed="false" customWidth="true" hidden="false" outlineLevel="0" max="6" min="6" style="1" width="18"/>
    <col collapsed="false" customWidth="true" hidden="false" outlineLevel="0" max="7" min="7" style="1" width="20"/>
    <col collapsed="false" customWidth="true" hidden="false" outlineLevel="0" max="8" min="8" style="1" width="65"/>
    <col collapsed="false" customWidth="true" hidden="false" outlineLevel="0" max="9" min="9" style="1" width="50"/>
    <col collapsed="false" customWidth="true" hidden="false" outlineLevel="0" max="10" min="10" style="1" width="10"/>
    <col collapsed="false" customWidth="true" hidden="false" outlineLevel="0" max="11" min="11" style="1" width="50"/>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45.75" hidden="false" customHeight="true" outlineLevel="0" collapsed="false">
      <c r="A2" s="3" t="s">
        <v>11</v>
      </c>
      <c r="B2" s="3" t="s">
        <v>12</v>
      </c>
      <c r="C2" s="3" t="s">
        <v>13</v>
      </c>
      <c r="D2" s="3" t="s">
        <v>14</v>
      </c>
      <c r="E2" s="3" t="s">
        <v>15</v>
      </c>
      <c r="F2" s="3" t="s">
        <v>15</v>
      </c>
      <c r="G2" s="3" t="s">
        <v>16</v>
      </c>
      <c r="H2" s="3" t="s">
        <v>17</v>
      </c>
      <c r="I2" s="3" t="s">
        <v>18</v>
      </c>
      <c r="J2" s="4" t="s">
        <v>19</v>
      </c>
      <c r="K2" s="3" t="s">
        <v>20</v>
      </c>
    </row>
    <row r="3" customFormat="false" ht="23.25" hidden="false" customHeight="true" outlineLevel="0" collapsed="false">
      <c r="A3" s="3" t="s">
        <v>21</v>
      </c>
      <c r="B3" s="3" t="s">
        <v>12</v>
      </c>
      <c r="C3" s="3" t="s">
        <v>22</v>
      </c>
      <c r="D3" s="3" t="s">
        <v>23</v>
      </c>
      <c r="E3" s="3" t="s">
        <v>15</v>
      </c>
      <c r="F3" s="3" t="s">
        <v>15</v>
      </c>
      <c r="G3" s="3" t="s">
        <v>15</v>
      </c>
      <c r="H3" s="3" t="s">
        <v>24</v>
      </c>
      <c r="I3" s="3" t="s">
        <v>25</v>
      </c>
      <c r="J3" s="4" t="s">
        <v>19</v>
      </c>
      <c r="K3" s="3" t="s">
        <v>26</v>
      </c>
    </row>
    <row r="4" customFormat="false" ht="23.25" hidden="false" customHeight="true" outlineLevel="0" collapsed="false">
      <c r="A4" s="3" t="s">
        <v>27</v>
      </c>
      <c r="B4" s="3" t="s">
        <v>28</v>
      </c>
      <c r="C4" s="3" t="s">
        <v>29</v>
      </c>
      <c r="D4" s="3" t="s">
        <v>30</v>
      </c>
      <c r="E4" s="3" t="s">
        <v>15</v>
      </c>
      <c r="F4" s="3" t="s">
        <v>15</v>
      </c>
      <c r="G4" s="3" t="s">
        <v>15</v>
      </c>
      <c r="H4" s="3" t="s">
        <v>31</v>
      </c>
      <c r="I4" s="3" t="s">
        <v>32</v>
      </c>
      <c r="J4" s="4" t="s">
        <v>19</v>
      </c>
      <c r="K4" s="3" t="s">
        <v>33</v>
      </c>
    </row>
    <row r="5" customFormat="false" ht="23.25" hidden="false" customHeight="true" outlineLevel="0" collapsed="false">
      <c r="A5" s="3" t="s">
        <v>34</v>
      </c>
      <c r="B5" s="3" t="s">
        <v>35</v>
      </c>
      <c r="C5" s="3" t="s">
        <v>36</v>
      </c>
      <c r="D5" s="3" t="s">
        <v>37</v>
      </c>
      <c r="E5" s="3" t="s">
        <v>15</v>
      </c>
      <c r="F5" s="3" t="s">
        <v>15</v>
      </c>
      <c r="G5" s="3" t="s">
        <v>15</v>
      </c>
      <c r="H5" s="3" t="s">
        <v>38</v>
      </c>
      <c r="I5" s="3" t="s">
        <v>39</v>
      </c>
      <c r="J5" s="4" t="s">
        <v>19</v>
      </c>
      <c r="K5" s="3" t="s">
        <v>40</v>
      </c>
    </row>
    <row r="6" customFormat="false" ht="15" hidden="false" customHeight="true" outlineLevel="0" collapsed="false">
      <c r="A6" s="3" t="s">
        <v>41</v>
      </c>
      <c r="B6" s="3" t="s">
        <v>42</v>
      </c>
      <c r="C6" s="3" t="s">
        <v>43</v>
      </c>
      <c r="D6" s="3" t="s">
        <v>44</v>
      </c>
      <c r="E6" s="3" t="s">
        <v>15</v>
      </c>
      <c r="F6" s="3" t="s">
        <v>15</v>
      </c>
      <c r="G6" s="3" t="s">
        <v>15</v>
      </c>
      <c r="H6" s="3" t="s">
        <v>45</v>
      </c>
      <c r="I6" s="3" t="s">
        <v>46</v>
      </c>
      <c r="J6" s="4" t="s">
        <v>19</v>
      </c>
      <c r="K6" s="3" t="s">
        <v>47</v>
      </c>
    </row>
    <row r="7" customFormat="false" ht="15" hidden="false" customHeight="true" outlineLevel="0" collapsed="false">
      <c r="A7" s="3" t="s">
        <v>48</v>
      </c>
      <c r="B7" s="3" t="s">
        <v>49</v>
      </c>
      <c r="C7" s="3" t="s">
        <v>43</v>
      </c>
      <c r="D7" s="3" t="s">
        <v>50</v>
      </c>
      <c r="E7" s="3" t="s">
        <v>15</v>
      </c>
      <c r="F7" s="3" t="s">
        <v>15</v>
      </c>
      <c r="G7" s="3" t="s">
        <v>15</v>
      </c>
      <c r="H7" s="3" t="s">
        <v>51</v>
      </c>
      <c r="I7" s="3" t="s">
        <v>52</v>
      </c>
      <c r="J7" s="4" t="s">
        <v>19</v>
      </c>
      <c r="K7" s="3" t="s">
        <v>53</v>
      </c>
    </row>
    <row r="8" customFormat="false" ht="15" hidden="false" customHeight="true" outlineLevel="0" collapsed="false">
      <c r="A8" s="3" t="s">
        <v>54</v>
      </c>
      <c r="B8" s="3" t="s">
        <v>55</v>
      </c>
      <c r="C8" s="3" t="s">
        <v>43</v>
      </c>
      <c r="D8" s="3" t="s">
        <v>56</v>
      </c>
      <c r="E8" s="3" t="s">
        <v>15</v>
      </c>
      <c r="F8" s="3" t="s">
        <v>15</v>
      </c>
      <c r="G8" s="3" t="s">
        <v>15</v>
      </c>
      <c r="H8" s="3" t="s">
        <v>57</v>
      </c>
      <c r="I8" s="3" t="s">
        <v>58</v>
      </c>
      <c r="J8" s="3" t="s">
        <v>59</v>
      </c>
      <c r="K8" s="3"/>
    </row>
    <row r="9" customFormat="false" ht="15" hidden="false" customHeight="true" outlineLevel="0" collapsed="false">
      <c r="A9" s="3" t="s">
        <v>60</v>
      </c>
      <c r="B9" s="3" t="s">
        <v>61</v>
      </c>
      <c r="C9" s="3" t="s">
        <v>43</v>
      </c>
      <c r="D9" s="3" t="s">
        <v>62</v>
      </c>
      <c r="E9" s="3" t="s">
        <v>15</v>
      </c>
      <c r="F9" s="3" t="s">
        <v>15</v>
      </c>
      <c r="G9" s="3" t="s">
        <v>15</v>
      </c>
      <c r="H9" s="3" t="s">
        <v>63</v>
      </c>
      <c r="I9" s="3" t="s">
        <v>64</v>
      </c>
      <c r="J9" s="3" t="s">
        <v>59</v>
      </c>
      <c r="K9" s="3" t="s">
        <v>65</v>
      </c>
    </row>
    <row r="10" customFormat="false" ht="15" hidden="false" customHeight="true" outlineLevel="0" collapsed="false">
      <c r="A10" s="3" t="s">
        <v>66</v>
      </c>
      <c r="B10" s="3" t="s">
        <v>67</v>
      </c>
      <c r="C10" s="3" t="s">
        <v>36</v>
      </c>
      <c r="D10" s="3" t="s">
        <v>68</v>
      </c>
      <c r="E10" s="3" t="s">
        <v>69</v>
      </c>
      <c r="F10" s="3" t="s">
        <v>15</v>
      </c>
      <c r="G10" s="3" t="s">
        <v>15</v>
      </c>
      <c r="H10" s="3" t="s">
        <v>70</v>
      </c>
      <c r="I10" s="3" t="s">
        <v>71</v>
      </c>
      <c r="J10" s="3" t="s">
        <v>59</v>
      </c>
      <c r="K10" s="3" t="s">
        <v>72</v>
      </c>
    </row>
    <row r="11" customFormat="false" ht="15" hidden="false" customHeight="true" outlineLevel="0" collapsed="false">
      <c r="A11" s="3" t="s">
        <v>73</v>
      </c>
      <c r="B11" s="3" t="s">
        <v>74</v>
      </c>
      <c r="C11" s="3" t="s">
        <v>36</v>
      </c>
      <c r="D11" s="3" t="s">
        <v>75</v>
      </c>
      <c r="E11" s="3" t="s">
        <v>15</v>
      </c>
      <c r="F11" s="3" t="s">
        <v>15</v>
      </c>
      <c r="G11" s="3" t="s">
        <v>15</v>
      </c>
      <c r="H11" s="3" t="s">
        <v>76</v>
      </c>
      <c r="I11" s="3" t="s">
        <v>77</v>
      </c>
      <c r="J11" s="3" t="s">
        <v>78</v>
      </c>
      <c r="K11" s="3" t="s">
        <v>79</v>
      </c>
    </row>
    <row r="12" customFormat="false" ht="15" hidden="false" customHeight="true" outlineLevel="0" collapsed="false">
      <c r="A12" s="3" t="s">
        <v>80</v>
      </c>
      <c r="B12" s="3" t="s">
        <v>74</v>
      </c>
      <c r="C12" s="3" t="s">
        <v>43</v>
      </c>
      <c r="D12" s="3" t="s">
        <v>81</v>
      </c>
      <c r="E12" s="3" t="s">
        <v>15</v>
      </c>
      <c r="F12" s="3" t="s">
        <v>15</v>
      </c>
      <c r="G12" s="3" t="s">
        <v>15</v>
      </c>
      <c r="H12" s="3" t="s">
        <v>82</v>
      </c>
      <c r="I12" s="3" t="s">
        <v>83</v>
      </c>
      <c r="J12" s="3" t="s">
        <v>59</v>
      </c>
      <c r="K12" s="3" t="s">
        <v>84</v>
      </c>
    </row>
    <row r="13" customFormat="false" ht="23.25" hidden="false" customHeight="true" outlineLevel="0" collapsed="false">
      <c r="A13" s="3" t="s">
        <v>85</v>
      </c>
      <c r="B13" s="3" t="s">
        <v>74</v>
      </c>
      <c r="C13" s="3" t="s">
        <v>86</v>
      </c>
      <c r="D13" s="3" t="s">
        <v>87</v>
      </c>
      <c r="E13" s="3" t="s">
        <v>15</v>
      </c>
      <c r="F13" s="3" t="s">
        <v>15</v>
      </c>
      <c r="G13" s="3" t="s">
        <v>15</v>
      </c>
      <c r="H13" s="3" t="s">
        <v>88</v>
      </c>
      <c r="I13" s="3" t="s">
        <v>89</v>
      </c>
      <c r="J13" s="3" t="s">
        <v>78</v>
      </c>
      <c r="K13" s="3" t="s">
        <v>79</v>
      </c>
    </row>
    <row r="14" customFormat="false" ht="23.25" hidden="false" customHeight="true" outlineLevel="0" collapsed="false">
      <c r="A14" s="3" t="s">
        <v>90</v>
      </c>
      <c r="B14" s="3" t="s">
        <v>91</v>
      </c>
      <c r="C14" s="3" t="s">
        <v>43</v>
      </c>
      <c r="D14" s="3" t="s">
        <v>92</v>
      </c>
      <c r="E14" s="3" t="s">
        <v>93</v>
      </c>
      <c r="F14" s="3" t="s">
        <v>15</v>
      </c>
      <c r="G14" s="3" t="s">
        <v>15</v>
      </c>
      <c r="H14" s="3" t="s">
        <v>94</v>
      </c>
      <c r="I14" s="3" t="s">
        <v>95</v>
      </c>
      <c r="J14" s="3" t="s">
        <v>78</v>
      </c>
      <c r="K14" s="3"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20"/>
    <col collapsed="false" customWidth="true" hidden="false" outlineLevel="0" max="3" min="3" style="1" width="12"/>
    <col collapsed="false" customWidth="true" hidden="false" outlineLevel="0" max="13" min="4" style="1" width="13"/>
    <col collapsed="false" customWidth="true" hidden="false" outlineLevel="0" max="15" min="14" style="1" width="10"/>
    <col collapsed="false" customWidth="true" hidden="false" outlineLevel="0" max="16" min="16" style="1" width="28"/>
    <col collapsed="false" customWidth="true" hidden="false" outlineLevel="0" max="17" min="17" style="1" width="45"/>
    <col collapsed="false" customWidth="true" hidden="false" outlineLevel="0" max="18" min="18" style="1" width="55"/>
  </cols>
  <sheetData>
    <row r="1" customFormat="false" ht="15" hidden="false" customHeight="true" outlineLevel="0" collapsed="false">
      <c r="A1" s="5" t="s">
        <v>97</v>
      </c>
      <c r="B1" s="5"/>
      <c r="C1" s="5"/>
      <c r="D1" s="5"/>
      <c r="E1" s="5"/>
      <c r="F1" s="5"/>
      <c r="G1" s="5"/>
      <c r="H1" s="5"/>
      <c r="I1" s="5"/>
      <c r="J1" s="5"/>
      <c r="K1" s="5"/>
      <c r="L1" s="5"/>
      <c r="M1" s="5"/>
      <c r="N1" s="5"/>
      <c r="O1" s="5"/>
      <c r="P1" s="5"/>
      <c r="Q1" s="5"/>
      <c r="R1" s="5"/>
    </row>
    <row r="2" customFormat="false" ht="39.75" hidden="false" customHeight="true" outlineLevel="0" collapsed="false">
      <c r="A2" s="6" t="s">
        <v>0</v>
      </c>
      <c r="B2" s="6" t="s">
        <v>98</v>
      </c>
      <c r="C2" s="6" t="s">
        <v>99</v>
      </c>
      <c r="D2" s="6" t="s">
        <v>100</v>
      </c>
      <c r="E2" s="6" t="s">
        <v>101</v>
      </c>
      <c r="F2" s="6" t="s">
        <v>102</v>
      </c>
      <c r="G2" s="6" t="s">
        <v>103</v>
      </c>
      <c r="H2" s="6" t="s">
        <v>104</v>
      </c>
      <c r="I2" s="6" t="s">
        <v>105</v>
      </c>
      <c r="J2" s="6" t="s">
        <v>106</v>
      </c>
      <c r="K2" s="6" t="s">
        <v>107</v>
      </c>
      <c r="L2" s="6" t="s">
        <v>108</v>
      </c>
      <c r="M2" s="6" t="s">
        <v>109</v>
      </c>
      <c r="N2" s="6" t="s">
        <v>110</v>
      </c>
      <c r="O2" s="6" t="s">
        <v>111</v>
      </c>
      <c r="P2" s="6" t="s">
        <v>6</v>
      </c>
      <c r="Q2" s="6" t="s">
        <v>112</v>
      </c>
      <c r="R2" s="6" t="s">
        <v>113</v>
      </c>
    </row>
    <row r="3" customFormat="false" ht="64.5" hidden="false" customHeight="true" outlineLevel="0" collapsed="false">
      <c r="A3" s="7" t="s">
        <v>11</v>
      </c>
      <c r="B3" s="8" t="s">
        <v>114</v>
      </c>
      <c r="C3" s="9" t="s">
        <v>115</v>
      </c>
      <c r="D3" s="10" t="n">
        <v>4036699</v>
      </c>
      <c r="E3" s="11" t="n">
        <v>2565554</v>
      </c>
      <c r="F3" s="11" t="n">
        <v>106900</v>
      </c>
      <c r="G3" s="11" t="n">
        <v>0</v>
      </c>
      <c r="H3" s="11" t="n">
        <v>164725</v>
      </c>
      <c r="I3" s="11" t="n">
        <v>4709259</v>
      </c>
      <c r="J3" s="11" t="n">
        <v>3056702</v>
      </c>
      <c r="K3" s="10" t="n">
        <v>116360</v>
      </c>
      <c r="L3" s="12" t="n">
        <v>13250</v>
      </c>
      <c r="M3" s="11" t="n">
        <v>3304394</v>
      </c>
      <c r="N3" s="13" t="n">
        <f aca="false">IF(D3&gt;0,E3/D3,0)</f>
        <v>0.635557419564848</v>
      </c>
      <c r="O3" s="13" t="n">
        <f aca="false">IF(D3&gt;0,K3/D3,0)</f>
        <v>0.0288255329416437</v>
      </c>
      <c r="P3" s="8" t="s">
        <v>116</v>
      </c>
      <c r="Q3" s="8" t="s">
        <v>117</v>
      </c>
      <c r="R3" s="8" t="s">
        <v>118</v>
      </c>
    </row>
    <row r="4" customFormat="false" ht="64.5" hidden="false" customHeight="true" outlineLevel="0" collapsed="false">
      <c r="A4" s="7" t="s">
        <v>119</v>
      </c>
      <c r="B4" s="8" t="s">
        <v>120</v>
      </c>
      <c r="C4" s="9" t="s">
        <v>121</v>
      </c>
      <c r="D4" s="10" t="n">
        <v>2871334</v>
      </c>
      <c r="E4" s="11" t="n">
        <v>242577</v>
      </c>
      <c r="F4" s="11" t="n">
        <v>0</v>
      </c>
      <c r="G4" s="11" t="n">
        <v>0</v>
      </c>
      <c r="H4" s="11" t="n">
        <v>0</v>
      </c>
      <c r="I4" s="11" t="n">
        <v>2989313</v>
      </c>
      <c r="J4" s="11" t="n">
        <v>1031322</v>
      </c>
      <c r="K4" s="12" t="n">
        <v>0</v>
      </c>
      <c r="L4" s="12" t="n">
        <v>15993</v>
      </c>
      <c r="M4" s="11" t="n">
        <v>2706753</v>
      </c>
      <c r="N4" s="13" t="n">
        <f aca="false">IF(D4&gt;0,E4/D4,0)</f>
        <v>0.0844823346918192</v>
      </c>
      <c r="O4" s="13" t="n">
        <f aca="false">IF(D4&gt;0,K4/D4,0)</f>
        <v>0</v>
      </c>
      <c r="P4" s="8" t="s">
        <v>122</v>
      </c>
      <c r="Q4" s="8" t="s">
        <v>123</v>
      </c>
      <c r="R4" s="8" t="s">
        <v>124</v>
      </c>
    </row>
    <row r="5" customFormat="false" ht="64.5" hidden="false" customHeight="true" outlineLevel="0" collapsed="false">
      <c r="A5" s="7" t="s">
        <v>27</v>
      </c>
      <c r="B5" s="8" t="s">
        <v>125</v>
      </c>
      <c r="C5" s="9" t="s">
        <v>121</v>
      </c>
      <c r="D5" s="10" t="n">
        <v>15213569</v>
      </c>
      <c r="E5" s="11" t="n">
        <v>4077111</v>
      </c>
      <c r="F5" s="11" t="n">
        <v>0</v>
      </c>
      <c r="G5" s="11" t="n">
        <v>0</v>
      </c>
      <c r="H5" s="11" t="n">
        <v>203217</v>
      </c>
      <c r="I5" s="11" t="n">
        <v>29242564</v>
      </c>
      <c r="J5" s="11" t="n">
        <v>22639727</v>
      </c>
      <c r="K5" s="10" t="n">
        <v>113307</v>
      </c>
      <c r="L5" s="10" t="n">
        <v>35532</v>
      </c>
      <c r="M5" s="11" t="n">
        <v>14083224</v>
      </c>
      <c r="N5" s="13" t="n">
        <f aca="false">IF(D5&gt;0,E5/D5,0)</f>
        <v>0.267991751310951</v>
      </c>
      <c r="O5" s="13" t="n">
        <f aca="false">IF(D5&gt;0,K5/D5,0)</f>
        <v>0.00744775929960945</v>
      </c>
      <c r="P5" s="8" t="s">
        <v>126</v>
      </c>
      <c r="Q5" s="8" t="s">
        <v>127</v>
      </c>
      <c r="R5" s="8" t="s">
        <v>128</v>
      </c>
    </row>
    <row r="6" customFormat="false" ht="64.5" hidden="false" customHeight="true" outlineLevel="0" collapsed="false">
      <c r="A6" s="7" t="s">
        <v>34</v>
      </c>
      <c r="B6" s="8" t="s">
        <v>129</v>
      </c>
      <c r="C6" s="9" t="s">
        <v>121</v>
      </c>
      <c r="D6" s="12" t="n">
        <v>603377</v>
      </c>
      <c r="E6" s="11" t="n">
        <v>37696</v>
      </c>
      <c r="F6" s="11" t="n">
        <v>314652</v>
      </c>
      <c r="G6" s="11" t="n">
        <v>0</v>
      </c>
      <c r="H6" s="11" t="n">
        <v>1317</v>
      </c>
      <c r="I6" s="11" t="n">
        <v>1100806</v>
      </c>
      <c r="J6" s="11" t="n">
        <v>709087</v>
      </c>
      <c r="K6" s="12" t="n">
        <v>4373</v>
      </c>
      <c r="L6" s="12" t="n">
        <v>4153</v>
      </c>
      <c r="M6" s="11" t="n">
        <v>580379</v>
      </c>
      <c r="N6" s="13" t="n">
        <f aca="false">IF(D6&gt;0,E6/D6,0)</f>
        <v>0.0624750363371491</v>
      </c>
      <c r="O6" s="13" t="n">
        <f aca="false">IF(D6&gt;0,K6/D6,0)</f>
        <v>0.007247541752503</v>
      </c>
      <c r="P6" s="8" t="s">
        <v>130</v>
      </c>
      <c r="Q6" s="8" t="s">
        <v>131</v>
      </c>
      <c r="R6" s="8" t="s">
        <v>132</v>
      </c>
    </row>
    <row r="7" customFormat="false" ht="64.5" hidden="false" customHeight="true" outlineLevel="0" collapsed="false">
      <c r="A7" s="7" t="s">
        <v>41</v>
      </c>
      <c r="B7" s="8" t="s">
        <v>133</v>
      </c>
      <c r="C7" s="9" t="s">
        <v>121</v>
      </c>
      <c r="D7" s="10" t="n">
        <v>6877</v>
      </c>
      <c r="E7" s="11" t="n">
        <v>6280</v>
      </c>
      <c r="F7" s="11" t="n">
        <v>0</v>
      </c>
      <c r="G7" s="11" t="n">
        <v>0</v>
      </c>
      <c r="H7" s="11" t="n">
        <v>0</v>
      </c>
      <c r="I7" s="11" t="n">
        <v>17517</v>
      </c>
      <c r="J7" s="11" t="n">
        <v>1683</v>
      </c>
      <c r="K7" s="12" t="n">
        <v>0</v>
      </c>
      <c r="L7" s="12" t="n">
        <v>0</v>
      </c>
      <c r="M7" s="11" t="n">
        <v>1029</v>
      </c>
      <c r="N7" s="13" t="n">
        <f aca="false">IF(D7&gt;0,E7/D7,0)</f>
        <v>0.913188890504581</v>
      </c>
      <c r="O7" s="13" t="n">
        <f aca="false">IF(D7&gt;0,K7/D7,0)</f>
        <v>0</v>
      </c>
      <c r="P7" s="8" t="s">
        <v>134</v>
      </c>
      <c r="Q7" s="8" t="s">
        <v>135</v>
      </c>
      <c r="R7" s="8" t="s">
        <v>136</v>
      </c>
    </row>
    <row r="8" customFormat="false" ht="64.5" hidden="false" customHeight="true" outlineLevel="0" collapsed="false">
      <c r="A8" s="7" t="s">
        <v>60</v>
      </c>
      <c r="B8" s="8" t="s">
        <v>137</v>
      </c>
      <c r="C8" s="9" t="s">
        <v>138</v>
      </c>
      <c r="D8" s="12" t="n">
        <v>499230</v>
      </c>
      <c r="E8" s="11" t="n">
        <v>185189</v>
      </c>
      <c r="F8" s="11" t="n">
        <v>5644</v>
      </c>
      <c r="G8" s="11" t="n">
        <v>0</v>
      </c>
      <c r="H8" s="11" t="n">
        <v>7100</v>
      </c>
      <c r="I8" s="11" t="n">
        <v>680890</v>
      </c>
      <c r="J8" s="11" t="n">
        <v>687826</v>
      </c>
      <c r="K8" s="12" t="n">
        <v>0</v>
      </c>
      <c r="L8" s="12" t="n">
        <v>7112</v>
      </c>
      <c r="M8" s="11" t="n">
        <v>499230</v>
      </c>
      <c r="N8" s="13" t="n">
        <f aca="false">IF(D8&gt;0,E8/D8,0)</f>
        <v>0.370949261863269</v>
      </c>
      <c r="O8" s="13" t="n">
        <f aca="false">IF(D8&gt;0,K8/D8,0)</f>
        <v>0</v>
      </c>
      <c r="P8" s="8" t="s">
        <v>139</v>
      </c>
      <c r="Q8" s="8" t="s">
        <v>140</v>
      </c>
      <c r="R8" s="8" t="s">
        <v>141</v>
      </c>
    </row>
    <row r="9" customFormat="false" ht="64.5" hidden="false" customHeight="true" outlineLevel="0" collapsed="false">
      <c r="A9" s="7" t="s">
        <v>66</v>
      </c>
      <c r="B9" s="8" t="s">
        <v>142</v>
      </c>
      <c r="C9" s="9" t="s">
        <v>121</v>
      </c>
      <c r="D9" s="12" t="n">
        <v>277843</v>
      </c>
      <c r="E9" s="11" t="n">
        <v>43193</v>
      </c>
      <c r="F9" s="11" t="n">
        <v>3787</v>
      </c>
      <c r="G9" s="11" t="n">
        <v>0</v>
      </c>
      <c r="H9" s="11" t="n">
        <v>17845</v>
      </c>
      <c r="I9" s="11" t="n">
        <v>81027</v>
      </c>
      <c r="J9" s="11" t="n">
        <v>48751</v>
      </c>
      <c r="K9" s="12" t="n">
        <v>2118</v>
      </c>
      <c r="L9" s="12" t="n">
        <v>700</v>
      </c>
      <c r="M9" s="11" t="n">
        <v>292537</v>
      </c>
      <c r="N9" s="13" t="n">
        <f aca="false">IF(D9&gt;0,E9/D9,0)</f>
        <v>0.155458298391538</v>
      </c>
      <c r="O9" s="13" t="n">
        <f aca="false">IF(D9&gt;0,K9/D9,0)</f>
        <v>0.00762301011722448</v>
      </c>
      <c r="P9" s="8" t="s">
        <v>143</v>
      </c>
      <c r="Q9" s="8" t="s">
        <v>144</v>
      </c>
      <c r="R9" s="8" t="s">
        <v>145</v>
      </c>
    </row>
    <row r="10" customFormat="false" ht="64.5" hidden="false" customHeight="true" outlineLevel="0" collapsed="false">
      <c r="A10" s="7" t="s">
        <v>73</v>
      </c>
      <c r="B10" s="8" t="s">
        <v>146</v>
      </c>
      <c r="C10" s="9" t="s">
        <v>121</v>
      </c>
      <c r="D10" s="10" t="n">
        <v>82017</v>
      </c>
      <c r="E10" s="11" t="n">
        <v>36413</v>
      </c>
      <c r="F10" s="11" t="n">
        <v>0</v>
      </c>
      <c r="G10" s="11" t="n">
        <v>0</v>
      </c>
      <c r="H10" s="11" t="n">
        <v>3054</v>
      </c>
      <c r="I10" s="11" t="n">
        <v>0</v>
      </c>
      <c r="J10" s="11" t="n">
        <v>0</v>
      </c>
      <c r="K10" s="12" t="n">
        <v>0</v>
      </c>
      <c r="L10" s="12" t="n">
        <v>0</v>
      </c>
      <c r="M10" s="11" t="n">
        <v>83408</v>
      </c>
      <c r="N10" s="13" t="n">
        <f aca="false">IF(D10&gt;0,E10/D10,0)</f>
        <v>0.443968933269932</v>
      </c>
      <c r="O10" s="13" t="n">
        <f aca="false">IF(D10&gt;0,K10/D10,0)</f>
        <v>0</v>
      </c>
      <c r="P10" s="8" t="s">
        <v>147</v>
      </c>
      <c r="Q10" s="8" t="s">
        <v>148</v>
      </c>
      <c r="R10" s="8" t="s">
        <v>149</v>
      </c>
    </row>
    <row r="11" customFormat="false" ht="64.5" hidden="false" customHeight="true" outlineLevel="0" collapsed="false">
      <c r="A11" s="7" t="s">
        <v>80</v>
      </c>
      <c r="B11" s="8" t="s">
        <v>150</v>
      </c>
      <c r="C11" s="9" t="s">
        <v>121</v>
      </c>
      <c r="D11" s="12" t="n">
        <v>433330</v>
      </c>
      <c r="E11" s="11" t="n">
        <v>97620</v>
      </c>
      <c r="F11" s="11" t="n">
        <v>0</v>
      </c>
      <c r="G11" s="11" t="n">
        <v>0</v>
      </c>
      <c r="H11" s="11" t="n">
        <v>15501</v>
      </c>
      <c r="I11" s="11" t="n">
        <v>558367</v>
      </c>
      <c r="J11" s="11" t="n">
        <v>185247</v>
      </c>
      <c r="K11" s="12" t="n">
        <v>28548</v>
      </c>
      <c r="L11" s="12" t="n">
        <v>23594</v>
      </c>
      <c r="M11" s="11" t="n">
        <v>570960</v>
      </c>
      <c r="N11" s="13" t="n">
        <f aca="false">IF(D11&gt;0,E11/D11,0)</f>
        <v>0.225278655989661</v>
      </c>
      <c r="O11" s="13" t="n">
        <f aca="false">IF(D11&gt;0,K11/D11,0)</f>
        <v>0.065880506773129</v>
      </c>
      <c r="P11" s="8" t="s">
        <v>151</v>
      </c>
      <c r="Q11" s="8" t="s">
        <v>152</v>
      </c>
      <c r="R11" s="8" t="s">
        <v>153</v>
      </c>
    </row>
  </sheetData>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20"/>
    <col collapsed="false" customWidth="true" hidden="false" outlineLevel="0" max="3" min="3" style="1" width="12"/>
    <col collapsed="false" customWidth="true" hidden="false" outlineLevel="0" max="13" min="4" style="1" width="13"/>
    <col collapsed="false" customWidth="true" hidden="false" outlineLevel="0" max="15" min="14" style="1" width="10"/>
    <col collapsed="false" customWidth="true" hidden="false" outlineLevel="0" max="16" min="16" style="1" width="28"/>
    <col collapsed="false" customWidth="true" hidden="false" outlineLevel="0" max="17" min="17" style="1" width="45"/>
    <col collapsed="false" customWidth="true" hidden="false" outlineLevel="0" max="18" min="18" style="1" width="55"/>
  </cols>
  <sheetData>
    <row r="1" customFormat="false" ht="15" hidden="false" customHeight="true" outlineLevel="0" collapsed="false">
      <c r="A1" s="5" t="s">
        <v>97</v>
      </c>
      <c r="B1" s="5"/>
      <c r="C1" s="5"/>
      <c r="D1" s="5"/>
      <c r="E1" s="5"/>
      <c r="F1" s="5"/>
      <c r="G1" s="5"/>
      <c r="H1" s="5"/>
      <c r="I1" s="5"/>
      <c r="J1" s="5"/>
      <c r="K1" s="5"/>
      <c r="L1" s="5"/>
      <c r="M1" s="5"/>
      <c r="N1" s="5"/>
      <c r="O1" s="5"/>
      <c r="P1" s="5"/>
      <c r="Q1" s="5"/>
      <c r="R1" s="5"/>
    </row>
    <row r="2" customFormat="false" ht="39.75" hidden="false" customHeight="true" outlineLevel="0" collapsed="false">
      <c r="A2" s="6" t="s">
        <v>0</v>
      </c>
      <c r="B2" s="6" t="s">
        <v>98</v>
      </c>
      <c r="C2" s="6" t="s">
        <v>99</v>
      </c>
      <c r="D2" s="6" t="s">
        <v>100</v>
      </c>
      <c r="E2" s="6" t="s">
        <v>101</v>
      </c>
      <c r="F2" s="6" t="s">
        <v>102</v>
      </c>
      <c r="G2" s="6" t="s">
        <v>103</v>
      </c>
      <c r="H2" s="6" t="s">
        <v>104</v>
      </c>
      <c r="I2" s="6" t="s">
        <v>105</v>
      </c>
      <c r="J2" s="6" t="s">
        <v>106</v>
      </c>
      <c r="K2" s="6" t="s">
        <v>107</v>
      </c>
      <c r="L2" s="6" t="s">
        <v>108</v>
      </c>
      <c r="M2" s="6" t="s">
        <v>109</v>
      </c>
      <c r="N2" s="6" t="s">
        <v>110</v>
      </c>
      <c r="O2" s="6" t="s">
        <v>111</v>
      </c>
      <c r="P2" s="6" t="s">
        <v>6</v>
      </c>
      <c r="Q2" s="6" t="s">
        <v>112</v>
      </c>
      <c r="R2" s="6" t="s">
        <v>113</v>
      </c>
    </row>
    <row r="3" customFormat="false" ht="64.5" hidden="false" customHeight="true" outlineLevel="0" collapsed="false">
      <c r="A3" s="14" t="s">
        <v>154</v>
      </c>
      <c r="B3" s="8" t="s">
        <v>155</v>
      </c>
      <c r="C3" s="9" t="s">
        <v>156</v>
      </c>
      <c r="D3" s="12" t="n">
        <v>1264580</v>
      </c>
      <c r="E3" s="11" t="n">
        <v>567848</v>
      </c>
      <c r="F3" s="11" t="n">
        <v>36656</v>
      </c>
      <c r="G3" s="11" t="n">
        <v>0</v>
      </c>
      <c r="H3" s="11" t="n">
        <v>18325</v>
      </c>
      <c r="I3" s="11" t="n">
        <v>1241207</v>
      </c>
      <c r="J3" s="11" t="n">
        <v>378849</v>
      </c>
      <c r="K3" s="12" t="n">
        <v>4659</v>
      </c>
      <c r="L3" s="12" t="n">
        <v>12073</v>
      </c>
      <c r="M3" s="11" t="n">
        <v>1261569</v>
      </c>
      <c r="N3" s="13" t="n">
        <f aca="false">IF(D3&gt;0,E3/D3,0)</f>
        <v>0.4490407882459</v>
      </c>
      <c r="O3" s="13" t="n">
        <f aca="false">IF(D3&gt;0,K3/D3,0)</f>
        <v>0.00368422717423967</v>
      </c>
      <c r="P3" s="8" t="s">
        <v>157</v>
      </c>
      <c r="Q3" s="8" t="s">
        <v>158</v>
      </c>
      <c r="R3" s="8" t="s">
        <v>159</v>
      </c>
    </row>
    <row r="4" customFormat="false" ht="64.5" hidden="false" customHeight="true" outlineLevel="0" collapsed="false">
      <c r="A4" s="7" t="s">
        <v>160</v>
      </c>
      <c r="B4" s="8" t="s">
        <v>161</v>
      </c>
      <c r="C4" s="9" t="s">
        <v>156</v>
      </c>
      <c r="D4" s="12" t="n">
        <v>896893</v>
      </c>
      <c r="E4" s="11" t="n">
        <v>353915</v>
      </c>
      <c r="F4" s="11" t="n">
        <v>28659</v>
      </c>
      <c r="G4" s="11" t="n">
        <v>48075</v>
      </c>
      <c r="H4" s="11" t="n">
        <v>57130</v>
      </c>
      <c r="I4" s="11" t="n">
        <v>1184277</v>
      </c>
      <c r="J4" s="11" t="n">
        <v>158109</v>
      </c>
      <c r="K4" s="12" t="n">
        <v>18099</v>
      </c>
      <c r="L4" s="12" t="n">
        <v>8173</v>
      </c>
      <c r="M4" s="11" t="n">
        <v>840236</v>
      </c>
      <c r="N4" s="13" t="n">
        <f aca="false">IF(D3&gt;0,E3/D3,0)</f>
        <v>0.4490407882459</v>
      </c>
      <c r="O4" s="13" t="n">
        <f aca="false">IF(D3&gt;0,K3/D3,0)</f>
        <v>0.00368422717423967</v>
      </c>
      <c r="P4" s="8" t="s">
        <v>162</v>
      </c>
      <c r="Q4" s="8" t="s">
        <v>163</v>
      </c>
      <c r="R4" s="8" t="s">
        <v>164</v>
      </c>
    </row>
    <row r="5" customFormat="false" ht="64.5" hidden="false" customHeight="true" outlineLevel="0" collapsed="false">
      <c r="A5" s="7" t="s">
        <v>165</v>
      </c>
      <c r="B5" s="8" t="s">
        <v>166</v>
      </c>
      <c r="C5" s="9" t="s">
        <v>115</v>
      </c>
      <c r="D5" s="12" t="n">
        <v>1073795</v>
      </c>
      <c r="E5" s="11" t="n">
        <v>316386</v>
      </c>
      <c r="F5" s="11" t="n">
        <v>33820</v>
      </c>
      <c r="G5" s="11" t="n">
        <v>0</v>
      </c>
      <c r="H5" s="11" t="n">
        <v>102796</v>
      </c>
      <c r="I5" s="11" t="n">
        <v>1713216</v>
      </c>
      <c r="J5" s="11" t="n">
        <v>423881</v>
      </c>
      <c r="K5" s="10" t="n">
        <v>50121</v>
      </c>
      <c r="L5" s="12" t="n">
        <v>2554</v>
      </c>
      <c r="M5" s="11" t="n">
        <v>1144550</v>
      </c>
      <c r="N5" s="13" t="n">
        <f aca="false">IF(D4&gt;0,E4/D4,0)</f>
        <v>0.394601139712318</v>
      </c>
      <c r="O5" s="13" t="n">
        <f aca="false">IF(D4&gt;0,K4/D4,0)</f>
        <v>0.020179664686869</v>
      </c>
      <c r="P5" s="8" t="s">
        <v>147</v>
      </c>
      <c r="Q5" s="8" t="s">
        <v>147</v>
      </c>
      <c r="R5" s="8" t="s">
        <v>167</v>
      </c>
    </row>
    <row r="6" customFormat="false" ht="64.5" hidden="false" customHeight="true" outlineLevel="0" collapsed="false">
      <c r="A6" s="7" t="s">
        <v>168</v>
      </c>
      <c r="B6" s="8" t="s">
        <v>169</v>
      </c>
      <c r="C6" s="9" t="s">
        <v>156</v>
      </c>
      <c r="D6" s="12" t="n">
        <v>1720906</v>
      </c>
      <c r="E6" s="11" t="n">
        <v>3086318</v>
      </c>
      <c r="F6" s="11" t="n">
        <v>63378</v>
      </c>
      <c r="G6" s="11" t="n">
        <v>0</v>
      </c>
      <c r="H6" s="11" t="n">
        <v>14916</v>
      </c>
      <c r="I6" s="11" t="n">
        <v>5661994</v>
      </c>
      <c r="J6" s="11" t="n">
        <v>4427724</v>
      </c>
      <c r="K6" s="12" t="n">
        <v>4731</v>
      </c>
      <c r="L6" s="12" t="n">
        <v>10352</v>
      </c>
      <c r="M6" s="11" t="n">
        <v>1891255</v>
      </c>
      <c r="N6" s="13" t="n">
        <f aca="false">IF(D5&gt;0,E5/D5,0)</f>
        <v>0.294642832197952</v>
      </c>
      <c r="O6" s="13" t="n">
        <f aca="false">IF(D5&gt;0,K5/D5,0)</f>
        <v>0.0466765071545314</v>
      </c>
      <c r="P6" s="8" t="s">
        <v>147</v>
      </c>
      <c r="Q6" s="8" t="s">
        <v>147</v>
      </c>
      <c r="R6" s="8" t="s">
        <v>170</v>
      </c>
    </row>
    <row r="7" customFormat="false" ht="64.5" hidden="false" customHeight="true" outlineLevel="0" collapsed="false">
      <c r="A7" s="7" t="s">
        <v>171</v>
      </c>
      <c r="B7" s="8" t="s">
        <v>172</v>
      </c>
      <c r="C7" s="9" t="s">
        <v>156</v>
      </c>
      <c r="D7" s="10" t="n">
        <v>2619221</v>
      </c>
      <c r="E7" s="11" t="n">
        <v>1248721</v>
      </c>
      <c r="F7" s="11" t="n">
        <v>190646</v>
      </c>
      <c r="G7" s="11" t="n">
        <v>0</v>
      </c>
      <c r="H7" s="11" t="n">
        <v>60404</v>
      </c>
      <c r="I7" s="11" t="n">
        <v>4129280</v>
      </c>
      <c r="J7" s="11" t="n">
        <v>2202920</v>
      </c>
      <c r="K7" s="12" t="n">
        <v>21729</v>
      </c>
      <c r="L7" s="12" t="n">
        <v>20257</v>
      </c>
      <c r="M7" s="11" t="n">
        <v>2585734</v>
      </c>
      <c r="N7" s="13" t="n">
        <f aca="false">IF(D6&gt;0,E6/D6,0)</f>
        <v>1.79342625338049</v>
      </c>
      <c r="O7" s="13" t="n">
        <f aca="false">IF(D6&gt;0,K6/D6,0)</f>
        <v>0.00274913330536357</v>
      </c>
      <c r="P7" s="8" t="s">
        <v>147</v>
      </c>
      <c r="Q7" s="8" t="s">
        <v>147</v>
      </c>
      <c r="R7" s="8" t="s">
        <v>173</v>
      </c>
    </row>
    <row r="8" customFormat="false" ht="64.5" hidden="false" customHeight="true" outlineLevel="0" collapsed="false">
      <c r="A8" s="7" t="s">
        <v>174</v>
      </c>
      <c r="B8" s="8" t="s">
        <v>175</v>
      </c>
      <c r="C8" s="9" t="s">
        <v>156</v>
      </c>
      <c r="D8" s="10" t="n">
        <v>2084910</v>
      </c>
      <c r="E8" s="11" t="n">
        <v>614190</v>
      </c>
      <c r="F8" s="11" t="n">
        <v>95064</v>
      </c>
      <c r="G8" s="11" t="n">
        <v>90603</v>
      </c>
      <c r="H8" s="11" t="n">
        <v>75928</v>
      </c>
      <c r="I8" s="11" t="n">
        <v>2150339</v>
      </c>
      <c r="J8" s="11" t="n">
        <v>504181</v>
      </c>
      <c r="K8" s="12" t="n">
        <v>29913</v>
      </c>
      <c r="L8" s="12" t="n">
        <v>14785</v>
      </c>
      <c r="M8" s="11" t="n">
        <v>2231599</v>
      </c>
      <c r="N8" s="13" t="n">
        <f aca="false">IF(D7&gt;0,E7/D7,0)</f>
        <v>0.476752820781446</v>
      </c>
      <c r="O8" s="13" t="n">
        <f aca="false">IF(D7&gt;0,K7/D7,0)</f>
        <v>0.00829597807897844</v>
      </c>
      <c r="P8" s="8" t="s">
        <v>147</v>
      </c>
      <c r="Q8" s="8" t="s">
        <v>147</v>
      </c>
      <c r="R8" s="8" t="s">
        <v>176</v>
      </c>
    </row>
    <row r="9" customFormat="false" ht="64.5" hidden="false" customHeight="true" outlineLevel="0" collapsed="false">
      <c r="A9" s="7" t="s">
        <v>177</v>
      </c>
      <c r="B9" s="8" t="s">
        <v>178</v>
      </c>
      <c r="C9" s="9" t="s">
        <v>121</v>
      </c>
      <c r="D9" s="12" t="n">
        <v>377044</v>
      </c>
      <c r="E9" s="11" t="n">
        <v>114335</v>
      </c>
      <c r="F9" s="11" t="n">
        <v>0</v>
      </c>
      <c r="G9" s="11" t="n">
        <v>0</v>
      </c>
      <c r="H9" s="11" t="n">
        <v>75984</v>
      </c>
      <c r="I9" s="11" t="n">
        <v>518239</v>
      </c>
      <c r="J9" s="11" t="n">
        <v>14190</v>
      </c>
      <c r="K9" s="12" t="n">
        <v>22455</v>
      </c>
      <c r="L9" s="12" t="n">
        <v>5964</v>
      </c>
      <c r="M9" s="11" t="n">
        <v>406504</v>
      </c>
      <c r="N9" s="13" t="n">
        <f aca="false">IF(D8&gt;0,E8/D8,0)</f>
        <v>0.294588255608156</v>
      </c>
      <c r="O9" s="13" t="n">
        <f aca="false">IF(D8&gt;0,K8/D8,0)</f>
        <v>0.014347381901377</v>
      </c>
      <c r="P9" s="8" t="s">
        <v>147</v>
      </c>
      <c r="Q9" s="8" t="s">
        <v>147</v>
      </c>
      <c r="R9" s="8" t="s">
        <v>179</v>
      </c>
    </row>
    <row r="10" customFormat="false" ht="64.5" hidden="false" customHeight="true" outlineLevel="0" collapsed="false">
      <c r="A10" s="7" t="s">
        <v>180</v>
      </c>
      <c r="B10" s="8" t="s">
        <v>181</v>
      </c>
      <c r="C10" s="9" t="s">
        <v>156</v>
      </c>
      <c r="D10" s="12" t="n">
        <v>996445</v>
      </c>
      <c r="E10" s="11" t="n">
        <v>509994</v>
      </c>
      <c r="F10" s="11" t="n">
        <v>42534</v>
      </c>
      <c r="G10" s="11" t="n">
        <v>5185</v>
      </c>
      <c r="H10" s="11" t="n">
        <v>32187</v>
      </c>
      <c r="I10" s="11" t="n">
        <v>544722</v>
      </c>
      <c r="J10" s="11" t="n">
        <v>56712</v>
      </c>
      <c r="K10" s="12" t="n">
        <v>13078</v>
      </c>
      <c r="L10" s="12" t="n">
        <v>14915</v>
      </c>
      <c r="M10" s="11" t="n">
        <v>913147</v>
      </c>
      <c r="N10" s="13" t="n">
        <f aca="false">IF(D9&gt;0,E9/D9,0)</f>
        <v>0.303240470608205</v>
      </c>
      <c r="O10" s="13" t="n">
        <f aca="false">IF(D9&gt;0,K9/D9,0)</f>
        <v>0.0595553834565727</v>
      </c>
      <c r="P10" s="8" t="s">
        <v>147</v>
      </c>
      <c r="Q10" s="8" t="s">
        <v>147</v>
      </c>
      <c r="R10" s="8" t="s">
        <v>182</v>
      </c>
    </row>
    <row r="11" customFormat="false" ht="64.5" hidden="false" customHeight="true" outlineLevel="0" collapsed="false">
      <c r="A11" s="7" t="s">
        <v>183</v>
      </c>
      <c r="B11" s="8" t="s">
        <v>184</v>
      </c>
      <c r="C11" s="9" t="s">
        <v>121</v>
      </c>
      <c r="D11" s="12" t="n">
        <v>1399848</v>
      </c>
      <c r="E11" s="11" t="n">
        <v>725137</v>
      </c>
      <c r="F11" s="11" t="n">
        <v>56195</v>
      </c>
      <c r="G11" s="11" t="n">
        <v>0</v>
      </c>
      <c r="H11" s="11" t="n">
        <v>128588</v>
      </c>
      <c r="I11" s="11" t="n">
        <v>787098</v>
      </c>
      <c r="J11" s="11" t="n">
        <v>63621</v>
      </c>
      <c r="K11" s="12" t="n">
        <v>25958</v>
      </c>
      <c r="L11" s="12" t="n">
        <v>7578</v>
      </c>
      <c r="M11" s="11" t="n">
        <v>1199376</v>
      </c>
      <c r="N11" s="13" t="n">
        <f aca="false">IF(D10&gt;0,E10/D10,0)</f>
        <v>0.51181349698177</v>
      </c>
      <c r="O11" s="13" t="n">
        <f aca="false">IF(D10&gt;0,K10/D10,0)</f>
        <v>0.0131246581597579</v>
      </c>
      <c r="P11" s="8" t="s">
        <v>147</v>
      </c>
      <c r="Q11" s="8" t="s">
        <v>147</v>
      </c>
      <c r="R11" s="8" t="s">
        <v>185</v>
      </c>
    </row>
    <row r="12" customFormat="false" ht="64.5" hidden="false" customHeight="true" outlineLevel="0" collapsed="false">
      <c r="A12" s="7" t="s">
        <v>186</v>
      </c>
      <c r="B12" s="8" t="s">
        <v>187</v>
      </c>
      <c r="C12" s="9" t="s">
        <v>115</v>
      </c>
      <c r="D12" s="10" t="n">
        <v>6866319</v>
      </c>
      <c r="E12" s="11" t="n">
        <v>2246612</v>
      </c>
      <c r="F12" s="11" t="n">
        <v>331306</v>
      </c>
      <c r="G12" s="11" t="n">
        <v>10000</v>
      </c>
      <c r="H12" s="11" t="n">
        <v>23051</v>
      </c>
      <c r="I12" s="11" t="n">
        <v>6610904</v>
      </c>
      <c r="J12" s="11" t="n">
        <v>4537147</v>
      </c>
      <c r="K12" s="12" t="n">
        <v>30768</v>
      </c>
      <c r="L12" s="10" t="n">
        <v>29210</v>
      </c>
      <c r="M12" s="11" t="n">
        <v>7510113</v>
      </c>
      <c r="N12" s="13" t="n">
        <f aca="false">IF(D11&gt;0,E11/D11,0)</f>
        <v>0.518011241220475</v>
      </c>
      <c r="O12" s="13" t="n">
        <f aca="false">IF(D11&gt;0,K11/D11,0)</f>
        <v>0.0185434418594019</v>
      </c>
      <c r="P12" s="8" t="s">
        <v>188</v>
      </c>
      <c r="Q12" s="8" t="s">
        <v>189</v>
      </c>
      <c r="R12" s="8" t="s">
        <v>190</v>
      </c>
    </row>
    <row r="13" customFormat="false" ht="64.5" hidden="false" customHeight="true" outlineLevel="0" collapsed="false">
      <c r="A13" s="7" t="s">
        <v>191</v>
      </c>
      <c r="B13" s="8" t="s">
        <v>192</v>
      </c>
      <c r="C13" s="9" t="s">
        <v>115</v>
      </c>
      <c r="D13" s="10" t="n">
        <v>5815997</v>
      </c>
      <c r="E13" s="11" t="n">
        <v>1882887</v>
      </c>
      <c r="F13" s="11" t="n">
        <v>234406</v>
      </c>
      <c r="G13" s="11" t="n">
        <v>0</v>
      </c>
      <c r="H13" s="11" t="n">
        <v>89898</v>
      </c>
      <c r="I13" s="11" t="n">
        <v>8305414</v>
      </c>
      <c r="J13" s="11" t="n">
        <v>3304743</v>
      </c>
      <c r="K13" s="10" t="n">
        <v>52848</v>
      </c>
      <c r="L13" s="10" t="n">
        <v>30218</v>
      </c>
      <c r="M13" s="11" t="n">
        <v>5486250</v>
      </c>
      <c r="N13" s="13" t="n">
        <f aca="false">IF(D12&gt;0,E12/D12,0)</f>
        <v>0.327193070988983</v>
      </c>
      <c r="O13" s="13" t="n">
        <f aca="false">IF(D12&gt;0,K12/D12,0)</f>
        <v>0.00448100357702577</v>
      </c>
      <c r="P13" s="8" t="s">
        <v>193</v>
      </c>
      <c r="Q13" s="8" t="s">
        <v>194</v>
      </c>
      <c r="R13" s="8" t="s">
        <v>195</v>
      </c>
    </row>
    <row r="14" customFormat="false" ht="64.5" hidden="false" customHeight="true" outlineLevel="0" collapsed="false">
      <c r="A14" s="7" t="s">
        <v>196</v>
      </c>
      <c r="B14" s="8" t="s">
        <v>197</v>
      </c>
      <c r="C14" s="9" t="s">
        <v>156</v>
      </c>
      <c r="D14" s="12" t="n">
        <v>1589145</v>
      </c>
      <c r="E14" s="11" t="n">
        <v>466549</v>
      </c>
      <c r="F14" s="11" t="n">
        <v>87527</v>
      </c>
      <c r="G14" s="11" t="n">
        <v>6493</v>
      </c>
      <c r="H14" s="11" t="n">
        <v>28415</v>
      </c>
      <c r="I14" s="11" t="n">
        <v>982215</v>
      </c>
      <c r="J14" s="11" t="n">
        <v>307740</v>
      </c>
      <c r="K14" s="12" t="n">
        <v>13843</v>
      </c>
      <c r="L14" s="10" t="n">
        <v>44036</v>
      </c>
      <c r="M14" s="11" t="n">
        <v>1715998</v>
      </c>
      <c r="N14" s="13" t="n">
        <f aca="false">IF(D13&gt;0,E13/D13,0)</f>
        <v>0.323742773594966</v>
      </c>
      <c r="O14" s="13" t="n">
        <f aca="false">IF(D13&gt;0,K13/D13,0)</f>
        <v>0.00908666218362905</v>
      </c>
      <c r="P14" s="8" t="s">
        <v>147</v>
      </c>
      <c r="Q14" s="8" t="s">
        <v>147</v>
      </c>
      <c r="R14" s="8" t="s">
        <v>198</v>
      </c>
    </row>
    <row r="15" customFormat="false" ht="64.5" hidden="false" customHeight="true" outlineLevel="0" collapsed="false">
      <c r="A15" s="7" t="s">
        <v>199</v>
      </c>
      <c r="B15" s="8" t="s">
        <v>200</v>
      </c>
      <c r="C15" s="9" t="s">
        <v>156</v>
      </c>
      <c r="D15" s="10" t="n">
        <v>7552645</v>
      </c>
      <c r="E15" s="11" t="n">
        <v>2488924</v>
      </c>
      <c r="F15" s="11" t="n">
        <v>218053</v>
      </c>
      <c r="G15" s="11" t="n">
        <v>0</v>
      </c>
      <c r="H15" s="11" t="n">
        <v>37412</v>
      </c>
      <c r="I15" s="11" t="n">
        <v>16649796</v>
      </c>
      <c r="J15" s="11" t="n">
        <v>6016094</v>
      </c>
      <c r="K15" s="12" t="n">
        <v>35088</v>
      </c>
      <c r="L15" s="10" t="n">
        <v>363868</v>
      </c>
      <c r="M15" s="11" t="n">
        <v>7920514</v>
      </c>
      <c r="N15" s="13" t="n">
        <f aca="false">IF(D14&gt;0,E14/D14,0)</f>
        <v>0.29358491515878</v>
      </c>
      <c r="O15" s="13" t="n">
        <f aca="false">IF(D14&gt;0,K14/D14,0)</f>
        <v>0.0087109735109131</v>
      </c>
      <c r="P15" s="8" t="s">
        <v>201</v>
      </c>
      <c r="Q15" s="8" t="s">
        <v>202</v>
      </c>
      <c r="R15" s="8" t="s">
        <v>203</v>
      </c>
    </row>
    <row r="16" customFormat="false" ht="64.5" hidden="false" customHeight="true" outlineLevel="0" collapsed="false">
      <c r="A16" s="7" t="s">
        <v>204</v>
      </c>
      <c r="B16" s="8" t="s">
        <v>205</v>
      </c>
      <c r="C16" s="9" t="s">
        <v>115</v>
      </c>
      <c r="D16" s="10" t="n">
        <v>13824513</v>
      </c>
      <c r="E16" s="11" t="n">
        <v>2976005</v>
      </c>
      <c r="F16" s="11" t="n">
        <v>733</v>
      </c>
      <c r="G16" s="11" t="n">
        <v>0</v>
      </c>
      <c r="H16" s="11" t="n">
        <v>0</v>
      </c>
      <c r="I16" s="11" t="n">
        <v>37399132</v>
      </c>
      <c r="J16" s="11" t="n">
        <v>14778339</v>
      </c>
      <c r="K16" s="12" t="n">
        <v>0</v>
      </c>
      <c r="L16" s="10" t="n">
        <v>43154</v>
      </c>
      <c r="M16" s="11" t="n">
        <v>13039418</v>
      </c>
      <c r="N16" s="13" t="n">
        <f aca="false">IF(D15&gt;0,E15/D15,0)</f>
        <v>0.329543358651175</v>
      </c>
      <c r="O16" s="13" t="n">
        <f aca="false">IF(D15&gt;0,K15/D15,0)</f>
        <v>0.00464578965382326</v>
      </c>
      <c r="P16" s="8" t="s">
        <v>206</v>
      </c>
      <c r="Q16" s="8" t="s">
        <v>207</v>
      </c>
      <c r="R16" s="8" t="s">
        <v>208</v>
      </c>
    </row>
    <row r="17" customFormat="false" ht="64.5" hidden="false" customHeight="true" outlineLevel="0" collapsed="false">
      <c r="A17" s="7" t="s">
        <v>209</v>
      </c>
      <c r="B17" s="8" t="s">
        <v>210</v>
      </c>
      <c r="C17" s="9" t="s">
        <v>115</v>
      </c>
      <c r="D17" s="10" t="n">
        <v>2482625</v>
      </c>
      <c r="E17" s="11" t="n">
        <v>918308</v>
      </c>
      <c r="F17" s="11" t="n">
        <v>57198</v>
      </c>
      <c r="G17" s="11" t="n">
        <v>0</v>
      </c>
      <c r="H17" s="11" t="n">
        <v>18855</v>
      </c>
      <c r="I17" s="11" t="n">
        <v>4295933</v>
      </c>
      <c r="J17" s="11" t="n">
        <v>1206783</v>
      </c>
      <c r="K17" s="12" t="n">
        <v>7610</v>
      </c>
      <c r="L17" s="12" t="n">
        <v>2554</v>
      </c>
      <c r="M17" s="11" t="n">
        <v>2276110</v>
      </c>
      <c r="N17" s="13" t="n">
        <f aca="false">IF(D16&gt;0,E16/D16,0)</f>
        <v>0.215270150926836</v>
      </c>
      <c r="O17" s="13" t="n">
        <f aca="false">IF(D16&gt;0,K16/D16,0)</f>
        <v>0</v>
      </c>
      <c r="P17" s="8" t="s">
        <v>211</v>
      </c>
      <c r="Q17" s="8" t="s">
        <v>212</v>
      </c>
      <c r="R17" s="8" t="s">
        <v>213</v>
      </c>
    </row>
    <row r="18" customFormat="false" ht="64.5" hidden="false" customHeight="true" outlineLevel="0" collapsed="false">
      <c r="A18" s="7" t="s">
        <v>214</v>
      </c>
      <c r="B18" s="8" t="s">
        <v>215</v>
      </c>
      <c r="C18" s="9" t="s">
        <v>115</v>
      </c>
      <c r="D18" s="10" t="n">
        <v>4156009</v>
      </c>
      <c r="E18" s="11" t="n">
        <v>65830</v>
      </c>
      <c r="F18" s="11" t="n">
        <v>0</v>
      </c>
      <c r="G18" s="11" t="n">
        <v>0</v>
      </c>
      <c r="H18" s="11" t="n">
        <v>0</v>
      </c>
      <c r="I18" s="11" t="n">
        <v>12155101</v>
      </c>
      <c r="J18" s="11" t="n">
        <v>3924967</v>
      </c>
      <c r="K18" s="12" t="n">
        <v>0</v>
      </c>
      <c r="L18" s="10" t="n">
        <v>47739</v>
      </c>
      <c r="M18" s="11" t="n">
        <v>4032968</v>
      </c>
      <c r="N18" s="13" t="n">
        <f aca="false">IF(D17&gt;0,E17/D17,0)</f>
        <v>0.36989396304315</v>
      </c>
      <c r="O18" s="13" t="n">
        <f aca="false">IF(D17&gt;0,K17/D17,0)</f>
        <v>0.00306530386183979</v>
      </c>
      <c r="P18" s="8" t="s">
        <v>216</v>
      </c>
      <c r="Q18" s="8" t="s">
        <v>217</v>
      </c>
      <c r="R18" s="8" t="s">
        <v>218</v>
      </c>
    </row>
    <row r="19" customFormat="false" ht="64.5" hidden="false" customHeight="true" outlineLevel="0" collapsed="false">
      <c r="A19" s="7" t="s">
        <v>219</v>
      </c>
      <c r="B19" s="8" t="s">
        <v>220</v>
      </c>
      <c r="C19" s="9" t="s">
        <v>121</v>
      </c>
      <c r="D19" s="10" t="n">
        <v>3818841</v>
      </c>
      <c r="E19" s="11" t="n">
        <v>1250030</v>
      </c>
      <c r="F19" s="11" t="n">
        <v>107572</v>
      </c>
      <c r="G19" s="11" t="n">
        <v>0</v>
      </c>
      <c r="H19" s="11" t="n">
        <v>45971</v>
      </c>
      <c r="I19" s="11" t="n">
        <v>6199858</v>
      </c>
      <c r="J19" s="11" t="n">
        <v>3676031</v>
      </c>
      <c r="K19" s="10" t="n">
        <v>141977</v>
      </c>
      <c r="L19" s="10" t="n">
        <v>206530</v>
      </c>
      <c r="M19" s="11" t="n">
        <v>3705718</v>
      </c>
      <c r="N19" s="13" t="n">
        <f aca="false">IF(D18&gt;0,E18/D18,0)</f>
        <v>0.0158397154577865</v>
      </c>
      <c r="O19" s="13" t="n">
        <f aca="false">IF(D18&gt;0,K18/D18,0)</f>
        <v>0</v>
      </c>
      <c r="P19" s="8" t="s">
        <v>221</v>
      </c>
      <c r="Q19" s="8" t="s">
        <v>222</v>
      </c>
      <c r="R19" s="8" t="s">
        <v>223</v>
      </c>
    </row>
    <row r="20" customFormat="false" ht="64.5" hidden="false" customHeight="true" outlineLevel="0" collapsed="false">
      <c r="A20" s="7" t="s">
        <v>224</v>
      </c>
      <c r="B20" s="8" t="s">
        <v>225</v>
      </c>
      <c r="C20" s="9" t="s">
        <v>121</v>
      </c>
      <c r="D20" s="10" t="n">
        <v>5647051</v>
      </c>
      <c r="E20" s="11" t="n">
        <v>45548</v>
      </c>
      <c r="F20" s="11" t="n">
        <v>0</v>
      </c>
      <c r="G20" s="11" t="n">
        <v>0</v>
      </c>
      <c r="H20" s="11" t="n">
        <v>0</v>
      </c>
      <c r="I20" s="11" t="n">
        <v>8688841</v>
      </c>
      <c r="J20" s="11" t="n">
        <v>6207665</v>
      </c>
      <c r="K20" s="10" t="n">
        <v>84505</v>
      </c>
      <c r="L20" s="10" t="n">
        <v>66956</v>
      </c>
      <c r="M20" s="11" t="n">
        <v>7073895</v>
      </c>
      <c r="N20" s="13" t="n">
        <f aca="false">IF(D19&gt;0,E19/D19,0)</f>
        <v>0.327332297940658</v>
      </c>
      <c r="O20" s="13" t="n">
        <f aca="false">IF(D19&gt;0,K19/D19,0)</f>
        <v>0.037178033858964</v>
      </c>
      <c r="P20" s="8" t="s">
        <v>226</v>
      </c>
      <c r="Q20" s="8" t="s">
        <v>147</v>
      </c>
      <c r="R20" s="8" t="s">
        <v>227</v>
      </c>
    </row>
    <row r="21" customFormat="false" ht="64.5" hidden="false" customHeight="true" outlineLevel="0" collapsed="false">
      <c r="A21" s="7" t="s">
        <v>228</v>
      </c>
      <c r="B21" s="8" t="s">
        <v>229</v>
      </c>
      <c r="C21" s="9" t="s">
        <v>115</v>
      </c>
      <c r="D21" s="10" t="n">
        <v>3326443</v>
      </c>
      <c r="E21" s="11" t="n">
        <v>852654</v>
      </c>
      <c r="F21" s="11" t="n">
        <v>278751</v>
      </c>
      <c r="G21" s="11" t="n">
        <v>0</v>
      </c>
      <c r="H21" s="11" t="n">
        <v>49587</v>
      </c>
      <c r="I21" s="11" t="n">
        <v>5044102</v>
      </c>
      <c r="J21" s="11" t="n">
        <v>1463097</v>
      </c>
      <c r="K21" s="12" t="n">
        <v>13985</v>
      </c>
      <c r="L21" s="10" t="n">
        <v>66273</v>
      </c>
      <c r="M21" s="11" t="n">
        <v>3766265</v>
      </c>
      <c r="N21" s="13" t="n">
        <f aca="false">IF(D20&gt;0,E20/D20,0)</f>
        <v>0.00806580284116435</v>
      </c>
      <c r="O21" s="13" t="n">
        <f aca="false">IF(D20&gt;0,K20/D20,0)</f>
        <v>0.0149644478153287</v>
      </c>
      <c r="P21" s="8" t="s">
        <v>230</v>
      </c>
      <c r="Q21" s="8" t="s">
        <v>231</v>
      </c>
      <c r="R21" s="8" t="s">
        <v>232</v>
      </c>
    </row>
    <row r="22" customFormat="false" ht="64.5" hidden="false" customHeight="true" outlineLevel="0" collapsed="false">
      <c r="A22" s="7" t="s">
        <v>233</v>
      </c>
      <c r="B22" s="8" t="s">
        <v>234</v>
      </c>
      <c r="C22" s="9" t="s">
        <v>115</v>
      </c>
      <c r="D22" s="10" t="n">
        <v>2711082</v>
      </c>
      <c r="E22" s="11" t="n">
        <v>1024067</v>
      </c>
      <c r="F22" s="11" t="n">
        <v>12122</v>
      </c>
      <c r="G22" s="11" t="n">
        <v>13803</v>
      </c>
      <c r="H22" s="11" t="n">
        <v>53660</v>
      </c>
      <c r="I22" s="11" t="n">
        <v>4487917</v>
      </c>
      <c r="J22" s="11" t="n">
        <v>1400995</v>
      </c>
      <c r="K22" s="12" t="n">
        <v>26295</v>
      </c>
      <c r="L22" s="12" t="n">
        <v>20986</v>
      </c>
      <c r="M22" s="11" t="n">
        <v>2588254</v>
      </c>
      <c r="N22" s="13" t="n">
        <f aca="false">IF(D21&gt;0,E21/D21,0)</f>
        <v>0.256326051581224</v>
      </c>
      <c r="O22" s="13" t="n">
        <f aca="false">IF(D21&gt;0,K21/D21,0)</f>
        <v>0.00420419048214564</v>
      </c>
      <c r="P22" s="8" t="s">
        <v>147</v>
      </c>
      <c r="Q22" s="8" t="s">
        <v>147</v>
      </c>
      <c r="R22" s="8" t="s">
        <v>235</v>
      </c>
    </row>
    <row r="23" customFormat="false" ht="18.75" hidden="false" customHeight="true" outlineLevel="0" collapsed="false">
      <c r="A23" s="7" t="s">
        <v>236</v>
      </c>
      <c r="B23" s="8" t="s">
        <v>237</v>
      </c>
      <c r="C23" s="9" t="s">
        <v>115</v>
      </c>
      <c r="D23" s="12" t="n">
        <v>1421169</v>
      </c>
      <c r="E23" s="11" t="n">
        <v>338245</v>
      </c>
      <c r="F23" s="11" t="n">
        <v>29872</v>
      </c>
      <c r="G23" s="11" t="n">
        <v>0</v>
      </c>
      <c r="H23" s="11" t="n">
        <v>11339</v>
      </c>
      <c r="I23" s="11" t="n">
        <v>3000211</v>
      </c>
      <c r="J23" s="11" t="n">
        <v>404301</v>
      </c>
      <c r="K23" s="12" t="n">
        <v>3781</v>
      </c>
      <c r="L23" s="12" t="n">
        <v>9995</v>
      </c>
      <c r="M23" s="11" t="n">
        <v>1404868</v>
      </c>
      <c r="N23" s="13" t="n">
        <f aca="false">IF(D22&gt;0,E22/D22,0)</f>
        <v>0.377733687140411</v>
      </c>
      <c r="O23" s="13" t="n">
        <f aca="false">IF(D22&gt;0,K22/D22,0)</f>
        <v>0.00969907955569031</v>
      </c>
      <c r="P23" s="8" t="s">
        <v>147</v>
      </c>
      <c r="Q23" s="8" t="s">
        <v>147</v>
      </c>
      <c r="R23" s="8" t="s">
        <v>238</v>
      </c>
    </row>
  </sheetData>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8"/>
    <col collapsed="false" customWidth="true" hidden="false" outlineLevel="0" max="4" min="4" style="1" width="25"/>
    <col collapsed="false" customWidth="true" hidden="false" outlineLevel="0" max="5" min="5" style="1" width="15"/>
    <col collapsed="false" customWidth="true" hidden="false" outlineLevel="0" max="6" min="6" style="1" width="18"/>
    <col collapsed="false" customWidth="true" hidden="false" outlineLevel="0" max="7" min="7" style="1" width="20"/>
    <col collapsed="false" customWidth="true" hidden="false" outlineLevel="0" max="8" min="8" style="1" width="65"/>
    <col collapsed="false" customWidth="true" hidden="false" outlineLevel="0" max="9" min="9" style="1" width="50"/>
    <col collapsed="false" customWidth="true" hidden="false" outlineLevel="0" max="10" min="10" style="1" width="10"/>
    <col collapsed="false" customWidth="true" hidden="false" outlineLevel="0" max="11" min="11" style="1" width="50"/>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23.25" hidden="false" customHeight="true" outlineLevel="0" collapsed="false">
      <c r="A2" s="3" t="s">
        <v>239</v>
      </c>
      <c r="B2" s="3" t="s">
        <v>35</v>
      </c>
      <c r="C2" s="3" t="s">
        <v>240</v>
      </c>
      <c r="D2" s="3" t="s">
        <v>241</v>
      </c>
      <c r="E2" s="3" t="s">
        <v>242</v>
      </c>
      <c r="F2" s="3" t="s">
        <v>15</v>
      </c>
      <c r="G2" s="3" t="s">
        <v>15</v>
      </c>
      <c r="H2" s="3" t="s">
        <v>243</v>
      </c>
      <c r="I2" s="3" t="s">
        <v>244</v>
      </c>
      <c r="J2" s="4" t="s">
        <v>19</v>
      </c>
      <c r="K2" s="3" t="s">
        <v>245</v>
      </c>
    </row>
    <row r="3" customFormat="false" ht="23.25" hidden="false" customHeight="true" outlineLevel="0" collapsed="false">
      <c r="A3" s="3" t="s">
        <v>246</v>
      </c>
      <c r="B3" s="3" t="s">
        <v>247</v>
      </c>
      <c r="C3" s="3" t="s">
        <v>240</v>
      </c>
      <c r="D3" s="3" t="s">
        <v>241</v>
      </c>
      <c r="E3" s="3" t="s">
        <v>248</v>
      </c>
      <c r="F3" s="3" t="s">
        <v>15</v>
      </c>
      <c r="G3" s="3" t="s">
        <v>15</v>
      </c>
      <c r="H3" s="3" t="s">
        <v>249</v>
      </c>
      <c r="I3" s="3" t="s">
        <v>250</v>
      </c>
      <c r="J3" s="4" t="s">
        <v>19</v>
      </c>
      <c r="K3" s="3" t="s">
        <v>251</v>
      </c>
    </row>
    <row r="4" customFormat="false" ht="15" hidden="false" customHeight="true" outlineLevel="0" collapsed="false">
      <c r="A4" s="3" t="s">
        <v>252</v>
      </c>
      <c r="B4" s="3" t="s">
        <v>253</v>
      </c>
      <c r="C4" s="3" t="s">
        <v>240</v>
      </c>
      <c r="D4" s="3" t="s">
        <v>241</v>
      </c>
      <c r="E4" s="3" t="s">
        <v>254</v>
      </c>
      <c r="F4" s="3" t="s">
        <v>15</v>
      </c>
      <c r="G4" s="3" t="s">
        <v>15</v>
      </c>
      <c r="H4" s="3" t="s">
        <v>255</v>
      </c>
      <c r="I4" s="3" t="s">
        <v>256</v>
      </c>
      <c r="J4" s="4" t="s">
        <v>19</v>
      </c>
      <c r="K4" s="3" t="s">
        <v>257</v>
      </c>
    </row>
    <row r="5" customFormat="false" ht="15" hidden="false" customHeight="true" outlineLevel="0" collapsed="false">
      <c r="A5" s="3" t="s">
        <v>258</v>
      </c>
      <c r="B5" s="3" t="s">
        <v>259</v>
      </c>
      <c r="C5" s="3" t="s">
        <v>240</v>
      </c>
      <c r="D5" s="3" t="s">
        <v>241</v>
      </c>
      <c r="E5" s="3" t="s">
        <v>260</v>
      </c>
      <c r="F5" s="3" t="s">
        <v>15</v>
      </c>
      <c r="G5" s="3" t="s">
        <v>15</v>
      </c>
      <c r="H5" s="3" t="s">
        <v>261</v>
      </c>
      <c r="I5" s="3" t="s">
        <v>262</v>
      </c>
      <c r="J5" s="4" t="s">
        <v>19</v>
      </c>
      <c r="K5" s="3" t="s">
        <v>263</v>
      </c>
    </row>
    <row r="6" customFormat="false" ht="23.25" hidden="false" customHeight="true" outlineLevel="0" collapsed="false">
      <c r="A6" s="3" t="s">
        <v>264</v>
      </c>
      <c r="B6" s="3" t="s">
        <v>259</v>
      </c>
      <c r="C6" s="3" t="s">
        <v>36</v>
      </c>
      <c r="D6" s="3" t="s">
        <v>241</v>
      </c>
      <c r="E6" s="3" t="s">
        <v>265</v>
      </c>
      <c r="F6" s="3" t="s">
        <v>15</v>
      </c>
      <c r="G6" s="3" t="s">
        <v>15</v>
      </c>
      <c r="H6" s="3" t="s">
        <v>266</v>
      </c>
      <c r="I6" s="3" t="s">
        <v>267</v>
      </c>
      <c r="J6" s="4" t="s">
        <v>19</v>
      </c>
      <c r="K6" s="3" t="s">
        <v>268</v>
      </c>
    </row>
    <row r="7" customFormat="false" ht="15" hidden="false" customHeight="true" outlineLevel="0" collapsed="false">
      <c r="A7" s="3" t="s">
        <v>269</v>
      </c>
      <c r="B7" s="3" t="s">
        <v>270</v>
      </c>
      <c r="C7" s="3" t="s">
        <v>240</v>
      </c>
      <c r="D7" s="3" t="s">
        <v>241</v>
      </c>
      <c r="E7" s="3" t="s">
        <v>271</v>
      </c>
      <c r="F7" s="3" t="s">
        <v>15</v>
      </c>
      <c r="G7" s="3" t="s">
        <v>15</v>
      </c>
      <c r="H7" s="3" t="s">
        <v>272</v>
      </c>
      <c r="I7" s="3" t="s">
        <v>273</v>
      </c>
      <c r="J7" s="4" t="s">
        <v>19</v>
      </c>
      <c r="K7" s="3" t="s">
        <v>274</v>
      </c>
    </row>
    <row r="8" customFormat="false" ht="15" hidden="false" customHeight="true" outlineLevel="0" collapsed="false">
      <c r="A8" s="3" t="s">
        <v>275</v>
      </c>
      <c r="B8" s="3" t="s">
        <v>276</v>
      </c>
      <c r="C8" s="3" t="s">
        <v>240</v>
      </c>
      <c r="D8" s="3" t="s">
        <v>241</v>
      </c>
      <c r="E8" s="3" t="s">
        <v>277</v>
      </c>
      <c r="F8" s="3" t="s">
        <v>15</v>
      </c>
      <c r="G8" s="3" t="s">
        <v>15</v>
      </c>
      <c r="H8" s="3" t="s">
        <v>278</v>
      </c>
      <c r="I8" s="3" t="s">
        <v>279</v>
      </c>
      <c r="J8" s="3" t="s">
        <v>59</v>
      </c>
      <c r="K8" s="3" t="s">
        <v>280</v>
      </c>
    </row>
    <row r="9" customFormat="false" ht="15" hidden="false" customHeight="true" outlineLevel="0" collapsed="false">
      <c r="A9" s="3" t="s">
        <v>281</v>
      </c>
      <c r="B9" s="3" t="s">
        <v>282</v>
      </c>
      <c r="C9" s="3" t="s">
        <v>240</v>
      </c>
      <c r="D9" s="3" t="s">
        <v>241</v>
      </c>
      <c r="E9" s="3" t="s">
        <v>283</v>
      </c>
      <c r="F9" s="3" t="s">
        <v>15</v>
      </c>
      <c r="G9" s="3" t="s">
        <v>15</v>
      </c>
      <c r="H9" s="3" t="s">
        <v>284</v>
      </c>
      <c r="I9" s="3" t="s">
        <v>285</v>
      </c>
      <c r="J9" s="3" t="s">
        <v>59</v>
      </c>
      <c r="K9" s="3" t="s">
        <v>286</v>
      </c>
    </row>
    <row r="10" customFormat="false" ht="15" hidden="false" customHeight="true" outlineLevel="0" collapsed="false">
      <c r="A10" s="3" t="s">
        <v>287</v>
      </c>
      <c r="B10" s="3" t="s">
        <v>288</v>
      </c>
      <c r="C10" s="3" t="s">
        <v>36</v>
      </c>
      <c r="D10" s="3" t="s">
        <v>241</v>
      </c>
      <c r="E10" s="3" t="s">
        <v>289</v>
      </c>
      <c r="F10" s="3" t="s">
        <v>15</v>
      </c>
      <c r="G10" s="3" t="s">
        <v>15</v>
      </c>
      <c r="H10" s="3" t="s">
        <v>290</v>
      </c>
      <c r="I10" s="3" t="s">
        <v>291</v>
      </c>
      <c r="J10" s="3" t="s">
        <v>59</v>
      </c>
      <c r="K10" s="3" t="s">
        <v>292</v>
      </c>
    </row>
    <row r="11" customFormat="false" ht="15" hidden="false" customHeight="true" outlineLevel="0" collapsed="false">
      <c r="A11" s="3" t="s">
        <v>293</v>
      </c>
      <c r="B11" s="3" t="s">
        <v>294</v>
      </c>
      <c r="C11" s="3" t="s">
        <v>295</v>
      </c>
      <c r="D11" s="3" t="s">
        <v>296</v>
      </c>
      <c r="E11" s="3" t="s">
        <v>297</v>
      </c>
      <c r="F11" s="3" t="s">
        <v>15</v>
      </c>
      <c r="G11" s="3" t="s">
        <v>15</v>
      </c>
      <c r="H11" s="3" t="s">
        <v>298</v>
      </c>
      <c r="I11" s="3" t="s">
        <v>299</v>
      </c>
      <c r="J11" s="4" t="s">
        <v>19</v>
      </c>
      <c r="K11" s="3" t="s">
        <v>300</v>
      </c>
    </row>
    <row r="12" customFormat="false" ht="15" hidden="false" customHeight="true" outlineLevel="0" collapsed="false">
      <c r="A12" s="3" t="s">
        <v>301</v>
      </c>
      <c r="B12" s="3" t="s">
        <v>302</v>
      </c>
      <c r="C12" s="3" t="s">
        <v>295</v>
      </c>
      <c r="D12" s="3" t="s">
        <v>303</v>
      </c>
      <c r="E12" s="3" t="s">
        <v>304</v>
      </c>
      <c r="F12" s="3" t="s">
        <v>15</v>
      </c>
      <c r="G12" s="3" t="s">
        <v>15</v>
      </c>
      <c r="H12" s="3" t="s">
        <v>305</v>
      </c>
      <c r="I12" s="3" t="s">
        <v>306</v>
      </c>
      <c r="J12" s="4" t="s">
        <v>19</v>
      </c>
      <c r="K12" s="3" t="s">
        <v>307</v>
      </c>
    </row>
    <row r="13" customFormat="false" ht="15" hidden="false" customHeight="true" outlineLevel="0" collapsed="false">
      <c r="A13" s="3" t="s">
        <v>308</v>
      </c>
      <c r="B13" s="3" t="s">
        <v>309</v>
      </c>
      <c r="C13" s="3" t="s">
        <v>295</v>
      </c>
      <c r="D13" s="3" t="s">
        <v>310</v>
      </c>
      <c r="E13" s="3" t="s">
        <v>311</v>
      </c>
      <c r="F13" s="3" t="s">
        <v>15</v>
      </c>
      <c r="G13" s="3" t="s">
        <v>15</v>
      </c>
      <c r="H13" s="3" t="s">
        <v>312</v>
      </c>
      <c r="I13" s="3" t="s">
        <v>313</v>
      </c>
      <c r="J13" s="3" t="s">
        <v>59</v>
      </c>
      <c r="K13" s="3" t="s">
        <v>314</v>
      </c>
    </row>
    <row r="14" customFormat="false" ht="15" hidden="false" customHeight="true" outlineLevel="0" collapsed="false">
      <c r="A14" s="3" t="s">
        <v>315</v>
      </c>
      <c r="B14" s="3" t="s">
        <v>316</v>
      </c>
      <c r="C14" s="3" t="s">
        <v>295</v>
      </c>
      <c r="D14" s="3" t="s">
        <v>317</v>
      </c>
      <c r="E14" s="3" t="s">
        <v>318</v>
      </c>
      <c r="F14" s="3" t="s">
        <v>15</v>
      </c>
      <c r="G14" s="3" t="s">
        <v>15</v>
      </c>
      <c r="H14" s="3" t="s">
        <v>319</v>
      </c>
      <c r="I14" s="3" t="s">
        <v>320</v>
      </c>
      <c r="J14" s="3" t="s">
        <v>59</v>
      </c>
      <c r="K14" s="3" t="s">
        <v>321</v>
      </c>
    </row>
    <row r="15" customFormat="false" ht="15" hidden="false" customHeight="true" outlineLevel="0" collapsed="false">
      <c r="A15" s="3" t="s">
        <v>204</v>
      </c>
      <c r="B15" s="3" t="s">
        <v>42</v>
      </c>
      <c r="C15" s="3" t="s">
        <v>295</v>
      </c>
      <c r="D15" s="3" t="s">
        <v>322</v>
      </c>
      <c r="E15" s="3" t="s">
        <v>323</v>
      </c>
      <c r="F15" s="3" t="s">
        <v>15</v>
      </c>
      <c r="G15" s="3" t="s">
        <v>15</v>
      </c>
      <c r="H15" s="3" t="s">
        <v>324</v>
      </c>
      <c r="I15" s="3" t="s">
        <v>325</v>
      </c>
      <c r="J15" s="3" t="s">
        <v>59</v>
      </c>
      <c r="K15" s="3" t="s">
        <v>326</v>
      </c>
    </row>
    <row r="16" customFormat="false" ht="23.25" hidden="false" customHeight="true" outlineLevel="0" collapsed="false">
      <c r="A16" s="3" t="s">
        <v>327</v>
      </c>
      <c r="B16" s="3" t="s">
        <v>74</v>
      </c>
      <c r="C16" s="3" t="s">
        <v>295</v>
      </c>
      <c r="D16" s="3" t="s">
        <v>328</v>
      </c>
      <c r="E16" s="3" t="s">
        <v>329</v>
      </c>
      <c r="F16" s="3" t="s">
        <v>15</v>
      </c>
      <c r="G16" s="3" t="s">
        <v>15</v>
      </c>
      <c r="H16" s="3" t="s">
        <v>330</v>
      </c>
      <c r="I16" s="3" t="s">
        <v>331</v>
      </c>
      <c r="J16" s="3" t="s">
        <v>59</v>
      </c>
      <c r="K16" s="3" t="s">
        <v>84</v>
      </c>
    </row>
    <row r="17" customFormat="false" ht="15" hidden="false" customHeight="true" outlineLevel="0" collapsed="false">
      <c r="A17" s="3" t="s">
        <v>332</v>
      </c>
      <c r="B17" s="3" t="s">
        <v>333</v>
      </c>
      <c r="C17" s="3" t="s">
        <v>36</v>
      </c>
      <c r="D17" s="3" t="s">
        <v>334</v>
      </c>
      <c r="E17" s="3" t="s">
        <v>335</v>
      </c>
      <c r="F17" s="3" t="s">
        <v>15</v>
      </c>
      <c r="G17" s="3" t="s">
        <v>15</v>
      </c>
      <c r="H17" s="3" t="s">
        <v>336</v>
      </c>
      <c r="I17" s="3" t="s">
        <v>337</v>
      </c>
      <c r="J17" s="3" t="s">
        <v>59</v>
      </c>
      <c r="K17" s="3" t="s">
        <v>338</v>
      </c>
    </row>
    <row r="18" customFormat="false" ht="23.25" hidden="false" customHeight="true" outlineLevel="0" collapsed="false">
      <c r="A18" s="3" t="s">
        <v>339</v>
      </c>
      <c r="B18" s="3" t="s">
        <v>340</v>
      </c>
      <c r="C18" s="3" t="s">
        <v>295</v>
      </c>
      <c r="D18" s="3" t="s">
        <v>341</v>
      </c>
      <c r="E18" s="3" t="s">
        <v>342</v>
      </c>
      <c r="F18" s="3" t="s">
        <v>15</v>
      </c>
      <c r="G18" s="3" t="s">
        <v>15</v>
      </c>
      <c r="H18" s="3" t="s">
        <v>343</v>
      </c>
      <c r="I18" s="3" t="s">
        <v>344</v>
      </c>
      <c r="J18" s="3" t="s">
        <v>59</v>
      </c>
      <c r="K18" s="3" t="s">
        <v>53</v>
      </c>
    </row>
    <row r="19" customFormat="false" ht="15" hidden="false" customHeight="true" outlineLevel="0" collapsed="false">
      <c r="A19" s="3" t="s">
        <v>224</v>
      </c>
      <c r="B19" s="3" t="s">
        <v>345</v>
      </c>
      <c r="C19" s="3" t="s">
        <v>346</v>
      </c>
      <c r="D19" s="3" t="s">
        <v>347</v>
      </c>
      <c r="E19" s="3" t="s">
        <v>348</v>
      </c>
      <c r="F19" s="3" t="s">
        <v>15</v>
      </c>
      <c r="G19" s="3" t="s">
        <v>15</v>
      </c>
      <c r="H19" s="3" t="s">
        <v>349</v>
      </c>
      <c r="I19" s="3" t="s">
        <v>350</v>
      </c>
      <c r="J19" s="3" t="s">
        <v>59</v>
      </c>
      <c r="K19" s="3" t="s">
        <v>53</v>
      </c>
    </row>
    <row r="20" customFormat="false" ht="15" hidden="false" customHeight="true" outlineLevel="0" collapsed="false">
      <c r="A20" s="3" t="s">
        <v>351</v>
      </c>
      <c r="B20" s="3" t="s">
        <v>352</v>
      </c>
      <c r="C20" s="3" t="s">
        <v>295</v>
      </c>
      <c r="D20" s="3" t="s">
        <v>353</v>
      </c>
      <c r="E20" s="3" t="s">
        <v>354</v>
      </c>
      <c r="F20" s="3" t="s">
        <v>15</v>
      </c>
      <c r="G20" s="3" t="s">
        <v>15</v>
      </c>
      <c r="H20" s="3" t="s">
        <v>355</v>
      </c>
      <c r="I20" s="3" t="s">
        <v>356</v>
      </c>
      <c r="J20" s="3" t="s">
        <v>59</v>
      </c>
      <c r="K20" s="3" t="s">
        <v>357</v>
      </c>
    </row>
    <row r="21" customFormat="false" ht="15" hidden="false" customHeight="true" outlineLevel="0" collapsed="false">
      <c r="A21" s="3" t="s">
        <v>358</v>
      </c>
      <c r="B21" s="3" t="s">
        <v>74</v>
      </c>
      <c r="C21" s="3" t="s">
        <v>240</v>
      </c>
      <c r="D21" s="3" t="s">
        <v>359</v>
      </c>
      <c r="E21" s="3" t="s">
        <v>360</v>
      </c>
      <c r="F21" s="3" t="s">
        <v>15</v>
      </c>
      <c r="G21" s="3" t="s">
        <v>15</v>
      </c>
      <c r="H21" s="3" t="s">
        <v>361</v>
      </c>
      <c r="I21" s="3" t="s">
        <v>362</v>
      </c>
      <c r="J21" s="3" t="s">
        <v>59</v>
      </c>
      <c r="K21" s="3" t="s">
        <v>84</v>
      </c>
    </row>
    <row r="22" customFormat="false" ht="15" hidden="false" customHeight="true" outlineLevel="0" collapsed="false">
      <c r="A22" s="3" t="s">
        <v>363</v>
      </c>
      <c r="B22" s="3" t="s">
        <v>364</v>
      </c>
      <c r="C22" s="3" t="s">
        <v>240</v>
      </c>
      <c r="D22" s="3" t="s">
        <v>241</v>
      </c>
      <c r="E22" s="3" t="s">
        <v>365</v>
      </c>
      <c r="F22" s="3" t="s">
        <v>15</v>
      </c>
      <c r="G22" s="3" t="s">
        <v>15</v>
      </c>
      <c r="H22" s="3" t="s">
        <v>366</v>
      </c>
      <c r="I22" s="3" t="s">
        <v>367</v>
      </c>
      <c r="J22" s="3" t="s">
        <v>59</v>
      </c>
      <c r="K22" s="3" t="s">
        <v>368</v>
      </c>
    </row>
    <row r="23" customFormat="false" ht="15" hidden="false" customHeight="true" outlineLevel="0" collapsed="false">
      <c r="A23" s="3" t="s">
        <v>369</v>
      </c>
      <c r="B23" s="3" t="s">
        <v>370</v>
      </c>
      <c r="C23" s="3" t="s">
        <v>240</v>
      </c>
      <c r="D23" s="3" t="s">
        <v>241</v>
      </c>
      <c r="E23" s="3" t="s">
        <v>371</v>
      </c>
      <c r="F23" s="3" t="s">
        <v>15</v>
      </c>
      <c r="G23" s="3" t="s">
        <v>15</v>
      </c>
      <c r="H23" s="3" t="s">
        <v>372</v>
      </c>
      <c r="I23" s="3" t="s">
        <v>373</v>
      </c>
      <c r="J23" s="3" t="s">
        <v>59</v>
      </c>
      <c r="K23" s="3" t="s">
        <v>374</v>
      </c>
    </row>
    <row r="25" customFormat="false" ht="15" hidden="false" customHeight="true" outlineLevel="0" collapsed="false">
      <c r="A25" s="15" t="s">
        <v>375</v>
      </c>
    </row>
    <row r="26" customFormat="false" ht="15" hidden="false" customHeight="true" outlineLevel="0" collapsed="false">
      <c r="A26" s="16"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2" min="1" style="1" width="25"/>
    <col collapsed="false" customWidth="true" hidden="false" outlineLevel="0" max="3" min="3" style="1" width="18"/>
    <col collapsed="false" customWidth="true" hidden="false" outlineLevel="0" max="5" min="4" style="1" width="30"/>
    <col collapsed="false" customWidth="true" hidden="false" outlineLevel="0" max="6" min="6" style="1" width="25"/>
    <col collapsed="false" customWidth="true" hidden="false" outlineLevel="0" max="7" min="7" style="1" width="20"/>
    <col collapsed="false" customWidth="true" hidden="false" outlineLevel="0" max="8" min="8" style="1" width="22"/>
    <col collapsed="false" customWidth="true" hidden="false" outlineLevel="0" max="9" min="9" style="1" width="60"/>
    <col collapsed="false" customWidth="true" hidden="false" outlineLevel="0" max="10" min="10" style="1" width="45"/>
    <col collapsed="false" customWidth="true" hidden="false" outlineLevel="0" max="11" min="11" style="1" width="10"/>
    <col collapsed="false" customWidth="true" hidden="false" outlineLevel="0" max="12" min="12" style="1" width="55"/>
  </cols>
  <sheetData>
    <row r="1" customFormat="false" ht="15" hidden="false" customHeight="true" outlineLevel="0" collapsed="false">
      <c r="A1" s="2" t="s">
        <v>0</v>
      </c>
      <c r="B1" s="2" t="s">
        <v>377</v>
      </c>
      <c r="C1" s="2" t="s">
        <v>1</v>
      </c>
      <c r="D1" s="2" t="s">
        <v>3</v>
      </c>
      <c r="E1" s="2" t="s">
        <v>378</v>
      </c>
      <c r="F1" s="2" t="s">
        <v>379</v>
      </c>
      <c r="G1" s="2" t="s">
        <v>380</v>
      </c>
      <c r="H1" s="2" t="s">
        <v>6</v>
      </c>
      <c r="I1" s="2" t="s">
        <v>381</v>
      </c>
      <c r="J1" s="2" t="s">
        <v>8</v>
      </c>
      <c r="K1" s="2" t="s">
        <v>9</v>
      </c>
      <c r="L1" s="2" t="s">
        <v>382</v>
      </c>
    </row>
    <row r="2" customFormat="false" ht="45.75" hidden="false" customHeight="true" outlineLevel="0" collapsed="false">
      <c r="A2" s="3" t="s">
        <v>383</v>
      </c>
      <c r="B2" s="3" t="s">
        <v>384</v>
      </c>
      <c r="C2" s="3" t="s">
        <v>49</v>
      </c>
      <c r="D2" s="3" t="s">
        <v>385</v>
      </c>
      <c r="E2" s="3" t="s">
        <v>386</v>
      </c>
      <c r="F2" s="3" t="s">
        <v>387</v>
      </c>
      <c r="G2" s="3" t="s">
        <v>388</v>
      </c>
      <c r="H2" s="3" t="s">
        <v>389</v>
      </c>
      <c r="I2" s="3" t="s">
        <v>390</v>
      </c>
      <c r="J2" s="3" t="s">
        <v>391</v>
      </c>
      <c r="K2" s="4" t="s">
        <v>19</v>
      </c>
      <c r="L2" s="3" t="s">
        <v>392</v>
      </c>
    </row>
    <row r="3" customFormat="false" ht="34.5" hidden="false" customHeight="true" outlineLevel="0" collapsed="false">
      <c r="A3" s="3" t="s">
        <v>393</v>
      </c>
      <c r="B3" s="3" t="s">
        <v>394</v>
      </c>
      <c r="C3" s="3" t="s">
        <v>370</v>
      </c>
      <c r="D3" s="3" t="s">
        <v>395</v>
      </c>
      <c r="E3" s="3" t="s">
        <v>15</v>
      </c>
      <c r="F3" s="3" t="s">
        <v>15</v>
      </c>
      <c r="G3" s="3" t="s">
        <v>396</v>
      </c>
      <c r="H3" s="3" t="s">
        <v>15</v>
      </c>
      <c r="I3" s="3" t="s">
        <v>397</v>
      </c>
      <c r="J3" s="3" t="s">
        <v>398</v>
      </c>
      <c r="K3" s="4" t="s">
        <v>19</v>
      </c>
      <c r="L3" s="3" t="s">
        <v>399</v>
      </c>
    </row>
    <row r="4" customFormat="false" ht="23.25" hidden="false" customHeight="true" outlineLevel="0" collapsed="false">
      <c r="A4" s="3" t="s">
        <v>400</v>
      </c>
      <c r="B4" s="3" t="s">
        <v>401</v>
      </c>
      <c r="C4" s="3" t="s">
        <v>402</v>
      </c>
      <c r="D4" s="3" t="s">
        <v>403</v>
      </c>
      <c r="E4" s="3" t="s">
        <v>15</v>
      </c>
      <c r="F4" s="3" t="s">
        <v>15</v>
      </c>
      <c r="G4" s="3" t="s">
        <v>404</v>
      </c>
      <c r="H4" s="3" t="s">
        <v>15</v>
      </c>
      <c r="I4" s="3" t="s">
        <v>405</v>
      </c>
      <c r="J4" s="3" t="s">
        <v>406</v>
      </c>
      <c r="K4" s="4" t="s">
        <v>19</v>
      </c>
      <c r="L4" s="3" t="s">
        <v>407</v>
      </c>
    </row>
    <row r="5" customFormat="false" ht="23.25" hidden="false" customHeight="true" outlineLevel="0" collapsed="false">
      <c r="A5" s="3" t="s">
        <v>408</v>
      </c>
      <c r="B5" s="3" t="s">
        <v>409</v>
      </c>
      <c r="C5" s="3" t="s">
        <v>410</v>
      </c>
      <c r="D5" s="3" t="s">
        <v>411</v>
      </c>
      <c r="E5" s="3" t="s">
        <v>15</v>
      </c>
      <c r="F5" s="3" t="s">
        <v>15</v>
      </c>
      <c r="G5" s="3" t="s">
        <v>15</v>
      </c>
      <c r="H5" s="3" t="s">
        <v>15</v>
      </c>
      <c r="I5" s="3" t="s">
        <v>412</v>
      </c>
      <c r="J5" s="3" t="s">
        <v>413</v>
      </c>
      <c r="K5" s="4" t="s">
        <v>19</v>
      </c>
      <c r="L5" s="3" t="s">
        <v>414</v>
      </c>
    </row>
    <row r="6" customFormat="false" ht="34.5" hidden="false" customHeight="true" outlineLevel="0" collapsed="false">
      <c r="A6" s="3" t="s">
        <v>415</v>
      </c>
      <c r="B6" s="3" t="s">
        <v>416</v>
      </c>
      <c r="C6" s="3" t="s">
        <v>74</v>
      </c>
      <c r="D6" s="3" t="s">
        <v>417</v>
      </c>
      <c r="E6" s="3" t="s">
        <v>15</v>
      </c>
      <c r="F6" s="3" t="s">
        <v>418</v>
      </c>
      <c r="G6" s="3" t="s">
        <v>419</v>
      </c>
      <c r="H6" s="3" t="s">
        <v>420</v>
      </c>
      <c r="I6" s="3" t="s">
        <v>421</v>
      </c>
      <c r="J6" s="3" t="s">
        <v>422</v>
      </c>
      <c r="K6" s="4" t="s">
        <v>19</v>
      </c>
      <c r="L6" s="3" t="s">
        <v>423</v>
      </c>
    </row>
    <row r="7" customFormat="false" ht="34.5" hidden="false" customHeight="true" outlineLevel="0" collapsed="false">
      <c r="A7" s="3" t="s">
        <v>424</v>
      </c>
      <c r="B7" s="3" t="s">
        <v>409</v>
      </c>
      <c r="C7" s="3" t="s">
        <v>425</v>
      </c>
      <c r="D7" s="3" t="s">
        <v>426</v>
      </c>
      <c r="E7" s="3" t="s">
        <v>15</v>
      </c>
      <c r="F7" s="3" t="s">
        <v>15</v>
      </c>
      <c r="G7" s="3" t="s">
        <v>427</v>
      </c>
      <c r="H7" s="3" t="s">
        <v>428</v>
      </c>
      <c r="I7" s="3" t="s">
        <v>429</v>
      </c>
      <c r="J7" s="3" t="s">
        <v>430</v>
      </c>
      <c r="K7" s="4" t="s">
        <v>19</v>
      </c>
      <c r="L7" s="3" t="s">
        <v>431</v>
      </c>
    </row>
    <row r="8" customFormat="false" ht="23.25" hidden="false" customHeight="true" outlineLevel="0" collapsed="false">
      <c r="A8" s="3" t="s">
        <v>432</v>
      </c>
      <c r="B8" s="3" t="s">
        <v>433</v>
      </c>
      <c r="C8" s="3" t="s">
        <v>55</v>
      </c>
      <c r="D8" s="3" t="s">
        <v>434</v>
      </c>
      <c r="E8" s="3" t="s">
        <v>15</v>
      </c>
      <c r="F8" s="3" t="s">
        <v>15</v>
      </c>
      <c r="G8" s="3" t="s">
        <v>435</v>
      </c>
      <c r="H8" s="3" t="s">
        <v>15</v>
      </c>
      <c r="I8" s="3" t="s">
        <v>436</v>
      </c>
      <c r="J8" s="3" t="s">
        <v>437</v>
      </c>
      <c r="K8" s="4" t="s">
        <v>19</v>
      </c>
      <c r="L8" s="3" t="s">
        <v>438</v>
      </c>
    </row>
    <row r="9" customFormat="false" ht="57" hidden="false" customHeight="true" outlineLevel="0" collapsed="false">
      <c r="A9" s="3" t="s">
        <v>439</v>
      </c>
      <c r="B9" s="3" t="s">
        <v>440</v>
      </c>
      <c r="C9" s="3" t="s">
        <v>441</v>
      </c>
      <c r="D9" s="3" t="s">
        <v>442</v>
      </c>
      <c r="E9" s="3" t="s">
        <v>443</v>
      </c>
      <c r="F9" s="3" t="s">
        <v>444</v>
      </c>
      <c r="G9" s="3" t="s">
        <v>404</v>
      </c>
      <c r="H9" s="3" t="s">
        <v>445</v>
      </c>
      <c r="I9" s="3" t="s">
        <v>446</v>
      </c>
      <c r="J9" s="3" t="s">
        <v>447</v>
      </c>
      <c r="K9" s="3" t="s">
        <v>59</v>
      </c>
      <c r="L9" s="3" t="s">
        <v>448</v>
      </c>
    </row>
    <row r="10" customFormat="false" ht="23.25" hidden="false" customHeight="true" outlineLevel="0" collapsed="false">
      <c r="A10" s="3" t="s">
        <v>449</v>
      </c>
      <c r="B10" s="3" t="s">
        <v>450</v>
      </c>
      <c r="C10" s="3" t="s">
        <v>12</v>
      </c>
      <c r="D10" s="3" t="s">
        <v>451</v>
      </c>
      <c r="E10" s="3" t="s">
        <v>15</v>
      </c>
      <c r="F10" s="3" t="s">
        <v>15</v>
      </c>
      <c r="G10" s="3" t="s">
        <v>452</v>
      </c>
      <c r="H10" s="3" t="s">
        <v>15</v>
      </c>
      <c r="I10" s="3" t="s">
        <v>453</v>
      </c>
      <c r="J10" s="3" t="s">
        <v>454</v>
      </c>
      <c r="K10" s="3" t="s">
        <v>78</v>
      </c>
      <c r="L10" s="3" t="s">
        <v>455</v>
      </c>
    </row>
    <row r="11" customFormat="false" ht="23.25" hidden="false" customHeight="true" outlineLevel="0" collapsed="false">
      <c r="A11" s="3" t="s">
        <v>456</v>
      </c>
      <c r="B11" s="3" t="s">
        <v>457</v>
      </c>
      <c r="C11" s="3" t="s">
        <v>12</v>
      </c>
      <c r="D11" s="3" t="s">
        <v>458</v>
      </c>
      <c r="E11" s="3" t="s">
        <v>15</v>
      </c>
      <c r="F11" s="3" t="s">
        <v>15</v>
      </c>
      <c r="G11" s="3" t="s">
        <v>459</v>
      </c>
      <c r="H11" s="3" t="s">
        <v>15</v>
      </c>
      <c r="I11" s="3" t="s">
        <v>460</v>
      </c>
      <c r="J11" s="3" t="s">
        <v>461</v>
      </c>
      <c r="K11" s="3" t="s">
        <v>59</v>
      </c>
      <c r="L11" s="3" t="s">
        <v>462</v>
      </c>
    </row>
    <row r="12" customFormat="false" ht="23.25" hidden="false" customHeight="true" outlineLevel="0" collapsed="false">
      <c r="A12" s="3" t="s">
        <v>463</v>
      </c>
      <c r="B12" s="3" t="s">
        <v>464</v>
      </c>
      <c r="C12" s="3" t="s">
        <v>12</v>
      </c>
      <c r="D12" s="3" t="s">
        <v>465</v>
      </c>
      <c r="E12" s="3" t="s">
        <v>15</v>
      </c>
      <c r="F12" s="3" t="s">
        <v>15</v>
      </c>
      <c r="G12" s="3" t="s">
        <v>15</v>
      </c>
      <c r="H12" s="3" t="s">
        <v>15</v>
      </c>
      <c r="I12" s="3" t="s">
        <v>466</v>
      </c>
      <c r="J12" s="3" t="s">
        <v>467</v>
      </c>
      <c r="K12" s="3" t="s">
        <v>59</v>
      </c>
      <c r="L12" s="3" t="s">
        <v>468</v>
      </c>
    </row>
    <row r="13" customFormat="false" ht="23.25" hidden="false" customHeight="true" outlineLevel="0" collapsed="false">
      <c r="A13" s="3" t="s">
        <v>469</v>
      </c>
      <c r="B13" s="3" t="s">
        <v>470</v>
      </c>
      <c r="C13" s="3" t="s">
        <v>49</v>
      </c>
      <c r="D13" s="3" t="s">
        <v>471</v>
      </c>
      <c r="E13" s="3" t="s">
        <v>15</v>
      </c>
      <c r="F13" s="3" t="s">
        <v>15</v>
      </c>
      <c r="G13" s="3" t="s">
        <v>472</v>
      </c>
      <c r="H13" s="3" t="s">
        <v>15</v>
      </c>
      <c r="I13" s="3" t="s">
        <v>473</v>
      </c>
      <c r="J13" s="3" t="s">
        <v>474</v>
      </c>
      <c r="K13" s="3" t="s">
        <v>59</v>
      </c>
      <c r="L13" s="3" t="s">
        <v>475</v>
      </c>
    </row>
    <row r="14" customFormat="false" ht="34.5" hidden="false" customHeight="true" outlineLevel="0" collapsed="false">
      <c r="A14" s="3" t="s">
        <v>476</v>
      </c>
      <c r="B14" s="3" t="s">
        <v>477</v>
      </c>
      <c r="C14" s="3" t="s">
        <v>478</v>
      </c>
      <c r="D14" s="3" t="s">
        <v>479</v>
      </c>
      <c r="E14" s="3" t="s">
        <v>15</v>
      </c>
      <c r="F14" s="3" t="s">
        <v>480</v>
      </c>
      <c r="G14" s="3" t="s">
        <v>15</v>
      </c>
      <c r="H14" s="3" t="s">
        <v>481</v>
      </c>
      <c r="I14" s="3" t="s">
        <v>482</v>
      </c>
      <c r="J14" s="3" t="s">
        <v>483</v>
      </c>
      <c r="K14" s="3" t="s">
        <v>59</v>
      </c>
      <c r="L14" s="3" t="s">
        <v>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16" min="3" style="1" width="14"/>
    <col collapsed="false" customWidth="true" hidden="false" outlineLevel="0" max="19" min="17" style="1" width="12"/>
    <col collapsed="false" customWidth="true" hidden="false" outlineLevel="0" max="21" min="20" style="1" width="30"/>
    <col collapsed="false" customWidth="true" hidden="false" outlineLevel="0" max="22" min="22" style="1" width="50"/>
    <col collapsed="false" customWidth="true" hidden="false" outlineLevel="0" max="23" min="23" style="1" width="60"/>
  </cols>
  <sheetData>
    <row r="1" customFormat="false" ht="45" hidden="false" customHeight="true" outlineLevel="0" collapsed="false">
      <c r="A1" s="17" t="s">
        <v>485</v>
      </c>
      <c r="B1" s="17"/>
      <c r="C1" s="17"/>
      <c r="D1" s="17"/>
      <c r="E1" s="17"/>
      <c r="F1" s="17"/>
      <c r="G1" s="17"/>
      <c r="H1" s="17"/>
      <c r="I1" s="17"/>
      <c r="J1" s="17"/>
      <c r="K1" s="17"/>
      <c r="L1" s="17"/>
      <c r="M1" s="17"/>
      <c r="N1" s="17"/>
      <c r="O1" s="17"/>
      <c r="P1" s="17"/>
      <c r="Q1" s="17"/>
      <c r="R1" s="17"/>
      <c r="S1" s="17"/>
      <c r="T1" s="17"/>
      <c r="U1" s="17"/>
      <c r="V1" s="17"/>
      <c r="W1" s="17"/>
    </row>
    <row r="2" customFormat="false" ht="79.5" hidden="false" customHeight="true" outlineLevel="0" collapsed="false">
      <c r="A2" s="18" t="s">
        <v>0</v>
      </c>
      <c r="B2" s="18" t="s">
        <v>98</v>
      </c>
      <c r="C2" s="18" t="s">
        <v>486</v>
      </c>
      <c r="D2" s="18" t="s">
        <v>487</v>
      </c>
      <c r="E2" s="18" t="s">
        <v>488</v>
      </c>
      <c r="F2" s="18" t="s">
        <v>489</v>
      </c>
      <c r="G2" s="18" t="s">
        <v>490</v>
      </c>
      <c r="H2" s="18" t="s">
        <v>491</v>
      </c>
      <c r="I2" s="18" t="s">
        <v>492</v>
      </c>
      <c r="J2" s="18" t="s">
        <v>493</v>
      </c>
      <c r="K2" s="18" t="s">
        <v>494</v>
      </c>
      <c r="L2" s="18" t="s">
        <v>495</v>
      </c>
      <c r="M2" s="18" t="s">
        <v>496</v>
      </c>
      <c r="N2" s="18" t="s">
        <v>497</v>
      </c>
      <c r="O2" s="18" t="s">
        <v>498</v>
      </c>
      <c r="P2" s="18" t="s">
        <v>499</v>
      </c>
      <c r="Q2" s="18" t="s">
        <v>500</v>
      </c>
      <c r="R2" s="18" t="s">
        <v>501</v>
      </c>
      <c r="S2" s="18" t="s">
        <v>502</v>
      </c>
      <c r="T2" s="18" t="s">
        <v>503</v>
      </c>
      <c r="U2" s="18" t="s">
        <v>6</v>
      </c>
      <c r="V2" s="18" t="s">
        <v>504</v>
      </c>
      <c r="W2" s="18" t="s">
        <v>113</v>
      </c>
    </row>
    <row r="3" customFormat="false" ht="79.5" hidden="false" customHeight="true" outlineLevel="0" collapsed="false">
      <c r="A3" s="19" t="s">
        <v>383</v>
      </c>
      <c r="B3" s="9" t="s">
        <v>505</v>
      </c>
      <c r="C3" s="3" t="s">
        <v>115</v>
      </c>
      <c r="D3" s="20" t="n">
        <v>366477</v>
      </c>
      <c r="E3" s="21" t="n">
        <v>70747</v>
      </c>
      <c r="F3" s="21" t="n">
        <v>49172</v>
      </c>
      <c r="G3" s="21" t="n">
        <v>34000</v>
      </c>
      <c r="H3" s="21" t="n">
        <v>103111</v>
      </c>
      <c r="I3" s="21" t="n">
        <v>69697</v>
      </c>
      <c r="J3" s="21" t="n">
        <v>275924</v>
      </c>
      <c r="K3" s="21" t="n">
        <v>128567</v>
      </c>
      <c r="L3" s="20" t="n">
        <v>12924</v>
      </c>
      <c r="M3" s="22" t="n">
        <v>140443</v>
      </c>
      <c r="N3" s="21" t="n">
        <v>415527</v>
      </c>
      <c r="O3" s="21" t="n">
        <v>264679</v>
      </c>
      <c r="P3" s="21" t="n">
        <v>137924</v>
      </c>
      <c r="Q3" s="13" t="n">
        <f aca="false">IF(D3&gt;0,E3/D3,0)</f>
        <v>0.193046221181684</v>
      </c>
      <c r="R3" s="13" t="n">
        <f aca="false">IF(D3&gt;0,L3/D3,0)</f>
        <v>0.0352655146161969</v>
      </c>
      <c r="S3" s="13" t="n">
        <f aca="false">IF(D3&gt;0,M3/D3,0)</f>
        <v>0.383224595267916</v>
      </c>
      <c r="T3" s="9" t="s">
        <v>506</v>
      </c>
      <c r="U3" s="9" t="s">
        <v>507</v>
      </c>
      <c r="V3" s="9" t="s">
        <v>508</v>
      </c>
      <c r="W3" s="9" t="s">
        <v>509</v>
      </c>
    </row>
    <row r="4" customFormat="false" ht="79.5" hidden="false" customHeight="true" outlineLevel="0" collapsed="false">
      <c r="A4" s="19" t="s">
        <v>393</v>
      </c>
      <c r="B4" s="9" t="s">
        <v>510</v>
      </c>
      <c r="C4" s="3" t="s">
        <v>121</v>
      </c>
      <c r="D4" s="20" t="n">
        <v>385623</v>
      </c>
      <c r="E4" s="21" t="n">
        <v>134946</v>
      </c>
      <c r="F4" s="21" t="n">
        <v>0</v>
      </c>
      <c r="G4" s="21" t="n">
        <v>0</v>
      </c>
      <c r="H4" s="21" t="n">
        <v>0</v>
      </c>
      <c r="I4" s="21" t="n">
        <v>0</v>
      </c>
      <c r="J4" s="21" t="n">
        <v>347468</v>
      </c>
      <c r="K4" s="21" t="n">
        <v>110058</v>
      </c>
      <c r="L4" s="20" t="n">
        <v>0</v>
      </c>
      <c r="M4" s="20" t="n">
        <v>23813</v>
      </c>
      <c r="N4" s="21" t="n">
        <v>410432</v>
      </c>
      <c r="O4" s="21" t="n">
        <v>322475</v>
      </c>
      <c r="P4" s="21" t="n">
        <v>87957</v>
      </c>
      <c r="Q4" s="13" t="n">
        <f aca="false">IF(D4&gt;0,E4/D4,0)</f>
        <v>0.349942819800686</v>
      </c>
      <c r="R4" s="13" t="n">
        <f aca="false">IF(D4&gt;0,L4/D4,0)</f>
        <v>0</v>
      </c>
      <c r="S4" s="13" t="n">
        <f aca="false">IF(D4&gt;0,M4/D4,0)</f>
        <v>0.0617520220526265</v>
      </c>
      <c r="T4" s="9" t="s">
        <v>511</v>
      </c>
      <c r="U4" s="9" t="s">
        <v>15</v>
      </c>
      <c r="V4" s="9" t="s">
        <v>512</v>
      </c>
      <c r="W4" s="9" t="s">
        <v>513</v>
      </c>
    </row>
    <row r="5" customFormat="false" ht="79.5" hidden="false" customHeight="true" outlineLevel="0" collapsed="false">
      <c r="A5" s="19" t="s">
        <v>400</v>
      </c>
      <c r="B5" s="9" t="s">
        <v>514</v>
      </c>
      <c r="C5" s="3" t="s">
        <v>121</v>
      </c>
      <c r="D5" s="20" t="n">
        <v>440919</v>
      </c>
      <c r="E5" s="21" t="n">
        <v>177642</v>
      </c>
      <c r="F5" s="21" t="n">
        <v>43236</v>
      </c>
      <c r="G5" s="21" t="n">
        <v>0</v>
      </c>
      <c r="H5" s="21" t="n">
        <v>25043</v>
      </c>
      <c r="I5" s="21" t="n">
        <v>0</v>
      </c>
      <c r="J5" s="21" t="n">
        <v>195042</v>
      </c>
      <c r="K5" s="21" t="n">
        <v>92536</v>
      </c>
      <c r="L5" s="20" t="n">
        <v>32281</v>
      </c>
      <c r="M5" s="22" t="n">
        <v>260766</v>
      </c>
      <c r="N5" s="21" t="n">
        <v>484953</v>
      </c>
      <c r="O5" s="21" t="n">
        <v>412747</v>
      </c>
      <c r="P5" s="21" t="n">
        <v>39926</v>
      </c>
      <c r="Q5" s="13" t="n">
        <f aca="false">IF(D5&gt;0,E5/D5,0)</f>
        <v>0.402890326794717</v>
      </c>
      <c r="R5" s="13" t="n">
        <f aca="false">IF(D5&gt;0,L5/D5,0)</f>
        <v>0.0732129937698307</v>
      </c>
      <c r="S5" s="13" t="n">
        <f aca="false">IF(D5&gt;0,M5/D5,0)</f>
        <v>0.591414749647895</v>
      </c>
      <c r="T5" s="9" t="s">
        <v>515</v>
      </c>
      <c r="U5" s="9" t="s">
        <v>516</v>
      </c>
      <c r="V5" s="9" t="s">
        <v>517</v>
      </c>
      <c r="W5" s="9" t="s">
        <v>518</v>
      </c>
    </row>
    <row r="6" customFormat="false" ht="79.5" hidden="false" customHeight="true" outlineLevel="0" collapsed="false">
      <c r="A6" s="19" t="s">
        <v>408</v>
      </c>
      <c r="B6" s="9" t="s">
        <v>519</v>
      </c>
      <c r="C6" s="3" t="s">
        <v>156</v>
      </c>
      <c r="D6" s="22" t="n">
        <v>160397</v>
      </c>
      <c r="E6" s="21" t="n">
        <v>10533</v>
      </c>
      <c r="F6" s="21" t="n">
        <v>2500</v>
      </c>
      <c r="G6" s="21" t="n">
        <v>0</v>
      </c>
      <c r="H6" s="21" t="n">
        <v>8682</v>
      </c>
      <c r="I6" s="21" t="n">
        <v>0</v>
      </c>
      <c r="J6" s="21" t="n">
        <v>43117</v>
      </c>
      <c r="K6" s="21" t="n">
        <v>7003</v>
      </c>
      <c r="L6" s="20" t="n">
        <v>11450</v>
      </c>
      <c r="M6" s="22" t="n">
        <v>78863</v>
      </c>
      <c r="N6" s="21" t="n">
        <v>150318</v>
      </c>
      <c r="O6" s="21" t="n">
        <v>103281</v>
      </c>
      <c r="P6" s="21" t="n">
        <v>35587</v>
      </c>
      <c r="Q6" s="13" t="n">
        <f aca="false">IF(D6&gt;0,E6/D6,0)</f>
        <v>0.0656683105045606</v>
      </c>
      <c r="R6" s="13" t="n">
        <f aca="false">IF(D6&gt;0,L6/D6,0)</f>
        <v>0.0713853750381865</v>
      </c>
      <c r="S6" s="13" t="n">
        <f aca="false">IF(D6&gt;0,M6/D6,0)</f>
        <v>0.491673784422402</v>
      </c>
      <c r="T6" s="9" t="s">
        <v>520</v>
      </c>
      <c r="U6" s="9" t="s">
        <v>15</v>
      </c>
      <c r="V6" s="9" t="s">
        <v>521</v>
      </c>
      <c r="W6" s="9" t="s">
        <v>522</v>
      </c>
    </row>
    <row r="7" customFormat="false" ht="79.5" hidden="false" customHeight="true" outlineLevel="0" collapsed="false">
      <c r="A7" s="19" t="s">
        <v>415</v>
      </c>
      <c r="B7" s="9" t="s">
        <v>523</v>
      </c>
      <c r="C7" s="3" t="s">
        <v>156</v>
      </c>
      <c r="D7" s="20" t="n">
        <v>425083</v>
      </c>
      <c r="E7" s="21" t="n">
        <v>91841</v>
      </c>
      <c r="F7" s="21" t="n">
        <v>49381</v>
      </c>
      <c r="G7" s="21" t="n">
        <v>61280</v>
      </c>
      <c r="H7" s="21" t="n">
        <v>0</v>
      </c>
      <c r="I7" s="21" t="n">
        <v>0</v>
      </c>
      <c r="J7" s="21" t="n">
        <v>231220</v>
      </c>
      <c r="K7" s="21" t="n">
        <v>74207</v>
      </c>
      <c r="L7" s="20" t="n">
        <v>1451</v>
      </c>
      <c r="M7" s="22" t="n">
        <v>35597</v>
      </c>
      <c r="N7" s="21" t="n">
        <v>426905</v>
      </c>
      <c r="O7" s="21" t="n">
        <v>295230</v>
      </c>
      <c r="P7" s="21" t="n">
        <v>130224</v>
      </c>
      <c r="Q7" s="13" t="n">
        <f aca="false">IF(D7&gt;0,E7/D7,0)</f>
        <v>0.21605427645895</v>
      </c>
      <c r="R7" s="13" t="n">
        <f aca="false">IF(D7&gt;0,L7/D7,0)</f>
        <v>0.00341345102015371</v>
      </c>
      <c r="S7" s="13" t="n">
        <f aca="false">IF(D7&gt;0,M7/D7,0)</f>
        <v>0.0837412928769205</v>
      </c>
      <c r="T7" s="9" t="s">
        <v>524</v>
      </c>
      <c r="U7" s="9" t="s">
        <v>525</v>
      </c>
      <c r="V7" s="9" t="s">
        <v>526</v>
      </c>
      <c r="W7" s="9" t="s">
        <v>527</v>
      </c>
    </row>
    <row r="8" customFormat="false" ht="79.5" hidden="false" customHeight="true" outlineLevel="0" collapsed="false">
      <c r="A8" s="19" t="s">
        <v>424</v>
      </c>
      <c r="B8" s="9" t="s">
        <v>528</v>
      </c>
      <c r="C8" s="3" t="s">
        <v>529</v>
      </c>
      <c r="D8" s="20" t="n">
        <v>222135</v>
      </c>
      <c r="E8" s="21" t="n">
        <v>14859</v>
      </c>
      <c r="F8" s="21" t="n">
        <v>51975</v>
      </c>
      <c r="G8" s="21" t="n">
        <v>0</v>
      </c>
      <c r="H8" s="21" t="n">
        <v>107206</v>
      </c>
      <c r="I8" s="21" t="n">
        <v>0</v>
      </c>
      <c r="J8" s="21" t="n">
        <v>129489</v>
      </c>
      <c r="K8" s="21" t="n">
        <v>28669</v>
      </c>
      <c r="L8" s="20" t="n">
        <v>0</v>
      </c>
      <c r="M8" s="20" t="n">
        <v>5535</v>
      </c>
      <c r="N8" s="21" t="n">
        <v>184488</v>
      </c>
      <c r="O8" s="21" t="n">
        <v>164459</v>
      </c>
      <c r="P8" s="21" t="n">
        <v>20029</v>
      </c>
      <c r="Q8" s="13" t="n">
        <f aca="false">IF(D8&gt;0,E8/D8,0)</f>
        <v>0.0668917550138429</v>
      </c>
      <c r="R8" s="13" t="n">
        <f aca="false">IF(D8&gt;0,L8/D8,0)</f>
        <v>0</v>
      </c>
      <c r="S8" s="13" t="n">
        <f aca="false">IF(D8&gt;0,M8/D8,0)</f>
        <v>0.0249172800324127</v>
      </c>
      <c r="T8" s="9" t="s">
        <v>530</v>
      </c>
      <c r="U8" s="9" t="s">
        <v>531</v>
      </c>
      <c r="V8" s="9" t="s">
        <v>532</v>
      </c>
      <c r="W8" s="9" t="s">
        <v>533</v>
      </c>
    </row>
    <row r="9" customFormat="false" ht="79.5" hidden="false" customHeight="true" outlineLevel="0" collapsed="false">
      <c r="A9" s="19" t="s">
        <v>432</v>
      </c>
      <c r="B9" s="9" t="s">
        <v>534</v>
      </c>
      <c r="C9" s="3" t="s">
        <v>529</v>
      </c>
      <c r="D9" s="20" t="n">
        <v>447338</v>
      </c>
      <c r="E9" s="21" t="n">
        <v>46383</v>
      </c>
      <c r="F9" s="21" t="n">
        <v>0</v>
      </c>
      <c r="G9" s="21" t="n">
        <v>103000</v>
      </c>
      <c r="H9" s="21" t="n">
        <v>235822</v>
      </c>
      <c r="I9" s="21" t="n">
        <v>0</v>
      </c>
      <c r="J9" s="21" t="n">
        <v>17649</v>
      </c>
      <c r="K9" s="21" t="n">
        <v>80116</v>
      </c>
      <c r="L9" s="20" t="n">
        <v>0</v>
      </c>
      <c r="M9" s="20" t="n">
        <v>4000</v>
      </c>
      <c r="N9" s="21" t="n">
        <v>456417</v>
      </c>
      <c r="O9" s="21" t="n">
        <v>339475</v>
      </c>
      <c r="P9" s="21" t="n">
        <v>116942</v>
      </c>
      <c r="Q9" s="13" t="n">
        <f aca="false">IF(D9&gt;0,E9/D9,0)</f>
        <v>0.103686697754271</v>
      </c>
      <c r="R9" s="13" t="n">
        <f aca="false">IF(D9&gt;0,L9/D9,0)</f>
        <v>0</v>
      </c>
      <c r="S9" s="13" t="n">
        <f aca="false">IF(D9&gt;0,M9/D9,0)</f>
        <v>0.00894178451193505</v>
      </c>
      <c r="T9" s="9" t="s">
        <v>535</v>
      </c>
      <c r="U9" s="9" t="s">
        <v>536</v>
      </c>
      <c r="V9" s="9" t="s">
        <v>537</v>
      </c>
      <c r="W9" s="9" t="s">
        <v>538</v>
      </c>
    </row>
    <row r="10" customFormat="false" ht="63.75" hidden="false" customHeight="true" outlineLevel="0" collapsed="false">
      <c r="A10" s="19" t="s">
        <v>539</v>
      </c>
      <c r="B10" s="9" t="s">
        <v>540</v>
      </c>
      <c r="C10" s="3" t="s">
        <v>541</v>
      </c>
      <c r="D10" s="20" t="n">
        <v>484402</v>
      </c>
      <c r="E10" s="21" t="n">
        <v>16020</v>
      </c>
      <c r="F10" s="21" t="n">
        <v>10000</v>
      </c>
      <c r="G10" s="21" t="n">
        <v>100000</v>
      </c>
      <c r="H10" s="21" t="n">
        <v>162363</v>
      </c>
      <c r="I10" s="21" t="n">
        <v>0</v>
      </c>
      <c r="J10" s="21" t="n">
        <v>188422</v>
      </c>
      <c r="K10" s="21" t="n">
        <v>165448</v>
      </c>
      <c r="L10" s="22" t="n">
        <v>53241</v>
      </c>
      <c r="M10" s="20" t="n">
        <v>8650</v>
      </c>
      <c r="N10" s="21" t="n">
        <v>344103</v>
      </c>
      <c r="O10" s="21" t="n">
        <v>0</v>
      </c>
      <c r="P10" s="21" t="n">
        <v>0</v>
      </c>
      <c r="Q10" s="13" t="n">
        <f aca="false">IF(D10&gt;0,E10/D10,0)</f>
        <v>0.0330717049062556</v>
      </c>
      <c r="R10" s="13" t="n">
        <f aca="false">IF(D10&gt;0,L10/D10,0)</f>
        <v>0.109910776586389</v>
      </c>
      <c r="S10" s="13" t="n">
        <f aca="false">IF(D10&gt;0,M10/D10,0)</f>
        <v>0.0178570691285337</v>
      </c>
      <c r="T10" s="9" t="s">
        <v>542</v>
      </c>
      <c r="U10" s="9" t="s">
        <v>445</v>
      </c>
      <c r="V10" s="9" t="s">
        <v>543</v>
      </c>
      <c r="W10" s="9" t="s">
        <v>544</v>
      </c>
    </row>
  </sheetData>
  <mergeCells count="1">
    <mergeCell ref="A1:W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55"/>
    <col collapsed="false" customWidth="true" hidden="false" outlineLevel="0" max="2" min="2" style="1" width="60"/>
  </cols>
  <sheetData>
    <row r="1" customFormat="false" ht="17.25" hidden="false" customHeight="true" outlineLevel="0" collapsed="false">
      <c r="A1" s="23" t="s">
        <v>545</v>
      </c>
    </row>
    <row r="2" customFormat="false" ht="15" hidden="false" customHeight="true" outlineLevel="0" collapsed="false">
      <c r="A2" s="16" t="s">
        <v>546</v>
      </c>
    </row>
    <row r="4" customFormat="false" ht="15" hidden="false" customHeight="true" outlineLevel="0" collapsed="false">
      <c r="A4" s="16"/>
      <c r="B4" s="16"/>
    </row>
    <row r="5" customFormat="false" ht="15" hidden="false" customHeight="true" outlineLevel="0" collapsed="false">
      <c r="A5" s="24" t="s">
        <v>547</v>
      </c>
      <c r="B5" s="16" t="s">
        <v>548</v>
      </c>
    </row>
    <row r="6" customFormat="false" ht="15" hidden="false" customHeight="true" outlineLevel="0" collapsed="false">
      <c r="A6" s="16" t="s">
        <v>549</v>
      </c>
      <c r="B6" s="16" t="s">
        <v>550</v>
      </c>
    </row>
    <row r="7" customFormat="false" ht="15" hidden="false" customHeight="true" outlineLevel="0" collapsed="false">
      <c r="A7" s="16" t="s">
        <v>551</v>
      </c>
      <c r="B7" s="16" t="s">
        <v>552</v>
      </c>
    </row>
    <row r="8" customFormat="false" ht="15" hidden="false" customHeight="true" outlineLevel="0" collapsed="false">
      <c r="A8" s="16" t="s">
        <v>553</v>
      </c>
      <c r="B8" s="16" t="s">
        <v>554</v>
      </c>
    </row>
    <row r="9" customFormat="false" ht="15" hidden="false" customHeight="true" outlineLevel="0" collapsed="false">
      <c r="A9" s="16" t="s">
        <v>555</v>
      </c>
      <c r="B9" s="16" t="s">
        <v>556</v>
      </c>
    </row>
    <row r="10" customFormat="false" ht="15" hidden="false" customHeight="true" outlineLevel="0" collapsed="false">
      <c r="A10" s="16" t="s">
        <v>557</v>
      </c>
      <c r="B10" s="16" t="s">
        <v>558</v>
      </c>
    </row>
    <row r="11" customFormat="false" ht="15" hidden="false" customHeight="true" outlineLevel="0" collapsed="false">
      <c r="A11" s="16" t="s">
        <v>559</v>
      </c>
      <c r="B11" s="16" t="s">
        <v>560</v>
      </c>
    </row>
    <row r="12" customFormat="false" ht="15" hidden="false" customHeight="true" outlineLevel="0" collapsed="false">
      <c r="A12" s="16" t="s">
        <v>561</v>
      </c>
      <c r="B12" s="16" t="s">
        <v>562</v>
      </c>
    </row>
    <row r="13" customFormat="false" ht="15" hidden="false" customHeight="true" outlineLevel="0" collapsed="false">
      <c r="A13" s="16" t="s">
        <v>563</v>
      </c>
      <c r="B13" s="16" t="s">
        <v>564</v>
      </c>
    </row>
    <row r="14" customFormat="false" ht="15" hidden="false" customHeight="true" outlineLevel="0" collapsed="false">
      <c r="A14" s="16" t="s">
        <v>565</v>
      </c>
      <c r="B14" s="16" t="s">
        <v>566</v>
      </c>
    </row>
    <row r="15" customFormat="false" ht="15" hidden="false" customHeight="true" outlineLevel="0" collapsed="false">
      <c r="A15" s="16" t="s">
        <v>567</v>
      </c>
      <c r="B15" s="16" t="s">
        <v>568</v>
      </c>
    </row>
    <row r="16" customFormat="false" ht="15" hidden="false" customHeight="true" outlineLevel="0" collapsed="false">
      <c r="A16" s="16" t="s">
        <v>569</v>
      </c>
      <c r="B16" s="16" t="s">
        <v>570</v>
      </c>
    </row>
    <row r="17" customFormat="false" ht="15" hidden="false" customHeight="true" outlineLevel="0" collapsed="false">
      <c r="A17" s="16"/>
      <c r="B17" s="16"/>
    </row>
    <row r="18" customFormat="false" ht="15" hidden="false" customHeight="true" outlineLevel="0" collapsed="false">
      <c r="A18" s="24" t="s">
        <v>571</v>
      </c>
      <c r="B18" s="16"/>
    </row>
    <row r="19" customFormat="false" ht="15" hidden="false" customHeight="true" outlineLevel="0" collapsed="false">
      <c r="A19" s="16" t="s">
        <v>572</v>
      </c>
      <c r="B19" s="16" t="s">
        <v>573</v>
      </c>
    </row>
    <row r="20" customFormat="false" ht="15" hidden="false" customHeight="true" outlineLevel="0" collapsed="false">
      <c r="A20" s="16" t="s">
        <v>574</v>
      </c>
      <c r="B20" s="16" t="s">
        <v>575</v>
      </c>
    </row>
    <row r="21" customFormat="false" ht="15" hidden="false" customHeight="true" outlineLevel="0" collapsed="false">
      <c r="A21" s="16" t="s">
        <v>576</v>
      </c>
      <c r="B21" s="16" t="s">
        <v>577</v>
      </c>
    </row>
    <row r="22" customFormat="false" ht="15" hidden="false" customHeight="true" outlineLevel="0" collapsed="false">
      <c r="A22" s="16" t="s">
        <v>578</v>
      </c>
      <c r="B22" s="16" t="s">
        <v>579</v>
      </c>
    </row>
    <row r="23" customFormat="false" ht="15" hidden="false" customHeight="true" outlineLevel="0" collapsed="false">
      <c r="A23" s="16"/>
      <c r="B23" s="16"/>
    </row>
    <row r="24" customFormat="false" ht="15" hidden="false" customHeight="true" outlineLevel="0" collapsed="false">
      <c r="A24" s="24" t="s">
        <v>580</v>
      </c>
      <c r="B24" s="16"/>
    </row>
    <row r="25" customFormat="false" ht="15" hidden="false" customHeight="true" outlineLevel="0" collapsed="false">
      <c r="A25" s="16" t="s">
        <v>581</v>
      </c>
      <c r="B25" s="16" t="s">
        <v>582</v>
      </c>
    </row>
    <row r="26" customFormat="false" ht="15" hidden="false" customHeight="true" outlineLevel="0" collapsed="false">
      <c r="A26" s="16" t="s">
        <v>583</v>
      </c>
      <c r="B26" s="16" t="s">
        <v>584</v>
      </c>
    </row>
    <row r="27" customFormat="false" ht="15" hidden="false" customHeight="true" outlineLevel="0" collapsed="false">
      <c r="A27" s="16" t="s">
        <v>585</v>
      </c>
      <c r="B27" s="16" t="s">
        <v>586</v>
      </c>
    </row>
    <row r="28" customFormat="false" ht="15" hidden="false" customHeight="true" outlineLevel="0" collapsed="false">
      <c r="A28" s="16"/>
      <c r="B28" s="16"/>
    </row>
    <row r="29" customFormat="false" ht="15" hidden="false" customHeight="true" outlineLevel="0" collapsed="false">
      <c r="A29" s="24" t="s">
        <v>587</v>
      </c>
      <c r="B29" s="16"/>
    </row>
    <row r="30" customFormat="false" ht="15" hidden="false" customHeight="true" outlineLevel="0" collapsed="false">
      <c r="A30" s="16" t="s">
        <v>588</v>
      </c>
      <c r="B30" s="16" t="s">
        <v>589</v>
      </c>
    </row>
    <row r="31" customFormat="false" ht="15" hidden="false" customHeight="true" outlineLevel="0" collapsed="false">
      <c r="A31" s="16" t="s">
        <v>590</v>
      </c>
      <c r="B31" s="16" t="s">
        <v>591</v>
      </c>
    </row>
    <row r="32" customFormat="false" ht="15" hidden="false" customHeight="true" outlineLevel="0" collapsed="false">
      <c r="A32" s="16"/>
      <c r="B32" s="16"/>
    </row>
    <row r="33" customFormat="false" ht="15" hidden="false" customHeight="true" outlineLevel="0" collapsed="false">
      <c r="A33" s="16" t="s">
        <v>592</v>
      </c>
      <c r="B33" s="16"/>
    </row>
    <row r="34" customFormat="false" ht="15" hidden="false" customHeight="true" outlineLevel="0" collapsed="false">
      <c r="A34" s="16" t="s">
        <v>593</v>
      </c>
      <c r="B34" s="16" t="s">
        <v>594</v>
      </c>
    </row>
    <row r="35" customFormat="false" ht="15" hidden="false" customHeight="true" outlineLevel="0" collapsed="false">
      <c r="A35" s="16" t="s">
        <v>595</v>
      </c>
      <c r="B35" s="16" t="s">
        <v>596</v>
      </c>
    </row>
    <row r="36" customFormat="false" ht="15" hidden="false" customHeight="true" outlineLevel="0" collapsed="false">
      <c r="A36" s="16"/>
      <c r="B36" s="16"/>
    </row>
    <row r="37" customFormat="false" ht="15" hidden="false" customHeight="true" outlineLevel="0" collapsed="false">
      <c r="A37" s="24" t="s">
        <v>597</v>
      </c>
      <c r="B37" s="16"/>
    </row>
    <row r="38" customFormat="false" ht="15" hidden="false" customHeight="true" outlineLevel="0" collapsed="false">
      <c r="A38" s="16" t="s">
        <v>598</v>
      </c>
      <c r="B38" s="16" t="s">
        <v>599</v>
      </c>
    </row>
    <row r="39" customFormat="false" ht="15" hidden="false" customHeight="true" outlineLevel="0" collapsed="false">
      <c r="A39" s="16" t="s">
        <v>600</v>
      </c>
      <c r="B39" s="16" t="s">
        <v>601</v>
      </c>
    </row>
    <row r="40" customFormat="false" ht="15" hidden="false" customHeight="true" outlineLevel="0" collapsed="false">
      <c r="A40" s="16" t="s">
        <v>602</v>
      </c>
      <c r="B40" s="16" t="s">
        <v>603</v>
      </c>
    </row>
    <row r="41" customFormat="false" ht="15" hidden="false" customHeight="true" outlineLevel="0" collapsed="false">
      <c r="A41" s="16" t="s">
        <v>604</v>
      </c>
      <c r="B41" s="16" t="s">
        <v>605</v>
      </c>
    </row>
    <row r="42" customFormat="false" ht="15" hidden="false" customHeight="true" outlineLevel="0" collapsed="false">
      <c r="A42" s="16" t="s">
        <v>606</v>
      </c>
      <c r="B42" s="16" t="s">
        <v>607</v>
      </c>
    </row>
    <row r="43" customFormat="false" ht="15" hidden="false" customHeight="true" outlineLevel="0" collapsed="false">
      <c r="A43" s="16" t="s">
        <v>608</v>
      </c>
      <c r="B43" s="16" t="s">
        <v>609</v>
      </c>
    </row>
    <row r="44" customFormat="false" ht="15" hidden="false" customHeight="true" outlineLevel="0" collapsed="false">
      <c r="A44" s="16" t="s">
        <v>610</v>
      </c>
      <c r="B44" s="16"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2" min="2" style="1" width="30"/>
    <col collapsed="false" customWidth="true" hidden="false" outlineLevel="0" max="3" min="3" style="1" width="25"/>
    <col collapsed="false" customWidth="true" hidden="false" outlineLevel="0" max="4" min="4" style="1" width="50"/>
    <col collapsed="false" customWidth="true" hidden="false" outlineLevel="0" max="5" min="5" style="1" width="60"/>
  </cols>
  <sheetData>
    <row r="1" customFormat="false" ht="15" hidden="false" customHeight="true" outlineLevel="0" collapsed="false">
      <c r="A1" s="2" t="s">
        <v>612</v>
      </c>
      <c r="B1" s="2" t="s">
        <v>377</v>
      </c>
      <c r="C1" s="2" t="s">
        <v>3</v>
      </c>
      <c r="D1" s="2" t="s">
        <v>613</v>
      </c>
      <c r="E1" s="2" t="s">
        <v>614</v>
      </c>
    </row>
    <row r="2" customFormat="false" ht="23.25" hidden="false" customHeight="true" outlineLevel="0" collapsed="false">
      <c r="A2" s="3" t="s">
        <v>615</v>
      </c>
      <c r="B2" s="3" t="s">
        <v>616</v>
      </c>
      <c r="C2" s="3" t="s">
        <v>617</v>
      </c>
      <c r="D2" s="3" t="s">
        <v>618</v>
      </c>
      <c r="E2" s="3" t="s">
        <v>619</v>
      </c>
    </row>
    <row r="3" customFormat="false" ht="23.25" hidden="false" customHeight="true" outlineLevel="0" collapsed="false">
      <c r="A3" s="3" t="s">
        <v>620</v>
      </c>
      <c r="B3" s="3" t="s">
        <v>621</v>
      </c>
      <c r="C3" s="3" t="s">
        <v>622</v>
      </c>
      <c r="D3" s="3" t="s">
        <v>623</v>
      </c>
      <c r="E3" s="3" t="s">
        <v>624</v>
      </c>
    </row>
    <row r="4" customFormat="false" ht="23.25" hidden="false" customHeight="true" outlineLevel="0" collapsed="false">
      <c r="A4" s="3" t="s">
        <v>625</v>
      </c>
      <c r="B4" s="3" t="s">
        <v>626</v>
      </c>
      <c r="C4" s="3" t="s">
        <v>627</v>
      </c>
      <c r="D4" s="3" t="s">
        <v>628</v>
      </c>
      <c r="E4" s="3" t="s">
        <v>629</v>
      </c>
    </row>
    <row r="5" customFormat="false" ht="23.25" hidden="false" customHeight="true" outlineLevel="0" collapsed="false">
      <c r="A5" s="3" t="s">
        <v>630</v>
      </c>
      <c r="B5" s="3" t="s">
        <v>626</v>
      </c>
      <c r="C5" s="3" t="s">
        <v>631</v>
      </c>
      <c r="D5" s="3" t="s">
        <v>632</v>
      </c>
      <c r="E5" s="3" t="s">
        <v>633</v>
      </c>
    </row>
    <row r="6" customFormat="false" ht="23.25" hidden="false" customHeight="true" outlineLevel="0" collapsed="false">
      <c r="A6" s="3" t="s">
        <v>634</v>
      </c>
      <c r="B6" s="3" t="s">
        <v>635</v>
      </c>
      <c r="C6" s="3" t="s">
        <v>636</v>
      </c>
      <c r="D6" s="3" t="s">
        <v>637</v>
      </c>
      <c r="E6" s="3" t="s">
        <v>638</v>
      </c>
    </row>
    <row r="7" customFormat="false" ht="15" hidden="false" customHeight="true" outlineLevel="0" collapsed="false">
      <c r="A7" s="3" t="s">
        <v>639</v>
      </c>
      <c r="B7" s="3" t="s">
        <v>640</v>
      </c>
      <c r="C7" s="3" t="s">
        <v>641</v>
      </c>
      <c r="D7" s="3" t="s">
        <v>642</v>
      </c>
      <c r="E7" s="3" t="s">
        <v>643</v>
      </c>
    </row>
    <row r="8" customFormat="false" ht="15" hidden="false" customHeight="true" outlineLevel="0" collapsed="false">
      <c r="A8" s="3" t="s">
        <v>644</v>
      </c>
      <c r="B8" s="3" t="s">
        <v>645</v>
      </c>
      <c r="C8" s="3" t="s">
        <v>646</v>
      </c>
      <c r="D8" s="3" t="s">
        <v>632</v>
      </c>
      <c r="E8" s="3" t="s">
        <v>647</v>
      </c>
    </row>
    <row r="9" customFormat="false" ht="15" hidden="false" customHeight="true" outlineLevel="0" collapsed="false">
      <c r="A9" s="3" t="s">
        <v>648</v>
      </c>
      <c r="B9" s="3" t="s">
        <v>649</v>
      </c>
      <c r="C9" s="3" t="s">
        <v>650</v>
      </c>
      <c r="D9" s="3" t="s">
        <v>651</v>
      </c>
      <c r="E9" s="3" t="s">
        <v>652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90"/>
  </cols>
  <sheetData>
    <row r="1" customFormat="false" ht="15" hidden="false" customHeight="true" outlineLevel="0" collapsed="false">
      <c r="A1" s="25" t="s">
        <v>653</v>
      </c>
    </row>
    <row r="2" customFormat="false" ht="15" hidden="false" customHeight="true" outlineLevel="0" collapsed="false">
      <c r="A2" s="16"/>
    </row>
    <row r="3" customFormat="false" ht="15" hidden="false" customHeight="true" outlineLevel="0" collapsed="false">
      <c r="A3" s="16" t="s">
        <v>654</v>
      </c>
    </row>
    <row r="4" customFormat="false" ht="15" hidden="false" customHeight="true" outlineLevel="0" collapsed="false">
      <c r="A4" s="16" t="s">
        <v>655</v>
      </c>
    </row>
    <row r="5" customFormat="false" ht="15" hidden="false" customHeight="true" outlineLevel="0" collapsed="false">
      <c r="A5" s="16" t="s">
        <v>656</v>
      </c>
    </row>
    <row r="6" customFormat="false" ht="15" hidden="false" customHeight="true" outlineLevel="0" collapsed="false">
      <c r="A6" s="16" t="s">
        <v>657</v>
      </c>
    </row>
    <row r="7" customFormat="false" ht="15" hidden="false" customHeight="true" outlineLevel="0" collapsed="false">
      <c r="A7" s="16"/>
    </row>
    <row r="8" customFormat="false" ht="15" hidden="false" customHeight="true" outlineLevel="0" collapsed="false">
      <c r="A8" s="25" t="s">
        <v>658</v>
      </c>
    </row>
    <row r="9" customFormat="false" ht="15" hidden="false" customHeight="true" outlineLevel="0" collapsed="false">
      <c r="A9" s="16" t="s">
        <v>659</v>
      </c>
    </row>
    <row r="10" customFormat="false" ht="15" hidden="false" customHeight="true" outlineLevel="0" collapsed="false">
      <c r="A10" s="16" t="s">
        <v>660</v>
      </c>
    </row>
    <row r="11" customFormat="false" ht="15" hidden="false" customHeight="true" outlineLevel="0" collapsed="false">
      <c r="A11" s="16" t="s">
        <v>661</v>
      </c>
    </row>
    <row r="12" customFormat="false" ht="15" hidden="false" customHeight="true" outlineLevel="0" collapsed="false">
      <c r="A12" s="16" t="s">
        <v>662</v>
      </c>
    </row>
    <row r="13" customFormat="false" ht="15" hidden="false" customHeight="true" outlineLevel="0" collapsed="false">
      <c r="A13" s="16" t="s">
        <v>663</v>
      </c>
    </row>
    <row r="14" customFormat="false" ht="15" hidden="false" customHeight="true" outlineLevel="0" collapsed="false">
      <c r="A14" s="16" t="s">
        <v>664</v>
      </c>
    </row>
    <row r="15" customFormat="false" ht="15" hidden="false" customHeight="true" outlineLevel="0" collapsed="false">
      <c r="A15" s="16" t="s">
        <v>665</v>
      </c>
    </row>
    <row r="16" customFormat="false" ht="15" hidden="false" customHeight="true" outlineLevel="0" collapsed="false">
      <c r="A16" s="16" t="s">
        <v>666</v>
      </c>
    </row>
    <row r="17" customFormat="false" ht="15" hidden="false" customHeight="true" outlineLevel="0" collapsed="false">
      <c r="A17" s="16" t="s">
        <v>667</v>
      </c>
    </row>
    <row r="18" customFormat="false" ht="15" hidden="false" customHeight="true" outlineLevel="0" collapsed="false">
      <c r="A18" s="16" t="s">
        <v>668</v>
      </c>
    </row>
    <row r="19" customFormat="false" ht="15" hidden="false" customHeight="true" outlineLevel="0" collapsed="false">
      <c r="A19" s="16" t="s">
        <v>669</v>
      </c>
    </row>
    <row r="20" customFormat="false" ht="15" hidden="false" customHeight="true" outlineLevel="0" collapsed="false">
      <c r="A20" s="16"/>
    </row>
    <row r="21" customFormat="false" ht="15" hidden="false" customHeight="true" outlineLevel="0" collapsed="false">
      <c r="A21" s="25" t="s">
        <v>670</v>
      </c>
    </row>
    <row r="22" customFormat="false" ht="15" hidden="false" customHeight="true" outlineLevel="0" collapsed="false">
      <c r="A22" s="16" t="s">
        <v>671</v>
      </c>
    </row>
    <row r="23" customFormat="false" ht="15" hidden="false" customHeight="true" outlineLevel="0" collapsed="false">
      <c r="A23" s="16" t="s">
        <v>672</v>
      </c>
    </row>
    <row r="24" customFormat="false" ht="15" hidden="false" customHeight="true" outlineLevel="0" collapsed="false">
      <c r="A24" s="16" t="s">
        <v>673</v>
      </c>
    </row>
    <row r="25" customFormat="false" ht="15" hidden="false" customHeight="true" outlineLevel="0" collapsed="false">
      <c r="A25" s="16" t="s">
        <v>674</v>
      </c>
    </row>
    <row r="26" customFormat="false" ht="15" hidden="false" customHeight="true" outlineLevel="0" collapsed="false">
      <c r="A26" s="16" t="s">
        <v>675</v>
      </c>
    </row>
    <row r="27" customFormat="false" ht="15" hidden="false" customHeight="true" outlineLevel="0" collapsed="false">
      <c r="A27" s="16" t="s">
        <v>676</v>
      </c>
    </row>
    <row r="28" customFormat="false" ht="15" hidden="false" customHeight="true" outlineLevel="0" collapsed="false">
      <c r="A28" s="16"/>
    </row>
    <row r="29" customFormat="false" ht="15" hidden="false" customHeight="true" outlineLevel="0" collapsed="false">
      <c r="A29" s="25" t="s">
        <v>677</v>
      </c>
    </row>
    <row r="30" customFormat="false" ht="15" hidden="false" customHeight="true" outlineLevel="0" collapsed="false">
      <c r="A30" s="16" t="s">
        <v>678</v>
      </c>
    </row>
    <row r="31" customFormat="false" ht="15" hidden="false" customHeight="true" outlineLevel="0" collapsed="false">
      <c r="A31" s="16" t="s">
        <v>679</v>
      </c>
    </row>
    <row r="32" customFormat="false" ht="15" hidden="false" customHeight="true" outlineLevel="0" collapsed="false">
      <c r="A32" s="16" t="s">
        <v>680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6"/>
    <col collapsed="false" customWidth="true" hidden="false" outlineLevel="0" max="4" min="4" style="0" width="20"/>
    <col collapsed="false" customWidth="true" hidden="false" outlineLevel="0" max="5" min="5" style="0" width="12"/>
    <col collapsed="false" customWidth="true" hidden="false" outlineLevel="0" max="8" min="6" style="0" width="15"/>
    <col collapsed="false" customWidth="true" hidden="false" outlineLevel="0" max="9" min="9" style="0" width="12"/>
    <col collapsed="false" customWidth="true" hidden="false" outlineLevel="0" max="10" min="10" style="0" width="14"/>
    <col collapsed="false" customWidth="true" hidden="false" outlineLevel="0" max="13" min="11" style="0" width="15"/>
    <col collapsed="false" customWidth="true" hidden="false" outlineLevel="0" max="14" min="14" style="0" width="14"/>
    <col collapsed="false" customWidth="true" hidden="false" outlineLevel="0" max="16" min="15" style="0" width="15"/>
    <col collapsed="false" customWidth="true" hidden="false" outlineLevel="0" max="18" min="17" style="0" width="14"/>
    <col collapsed="false" customWidth="true" hidden="false" outlineLevel="0" max="20" min="19" style="0" width="12"/>
    <col collapsed="false" customWidth="true" hidden="false" outlineLevel="0" max="21" min="21" style="0" width="10"/>
    <col collapsed="false" customWidth="true" hidden="false" outlineLevel="0" max="22" min="22" style="0" width="30"/>
    <col collapsed="false" customWidth="true" hidden="false" outlineLevel="0" max="23" min="23" style="0" width="35"/>
    <col collapsed="false" customWidth="true" hidden="false" outlineLevel="0" max="24" min="24" style="0" width="60"/>
  </cols>
  <sheetData>
    <row r="1" customFormat="false" ht="15" hidden="false" customHeight="false" outlineLevel="0" collapsed="false">
      <c r="A1" s="26" t="s">
        <v>681</v>
      </c>
    </row>
    <row r="2" customFormat="false" ht="15" hidden="false" customHeight="false" outlineLevel="0" collapsed="false">
      <c r="A2" s="27" t="s">
        <v>682</v>
      </c>
    </row>
    <row r="3" customFormat="false" ht="26.85" hidden="false" customHeight="false" outlineLevel="0" collapsed="false">
      <c r="A3" s="28" t="s">
        <v>683</v>
      </c>
      <c r="B3" s="28" t="s">
        <v>684</v>
      </c>
      <c r="C3" s="28" t="s">
        <v>685</v>
      </c>
      <c r="D3" s="28" t="s">
        <v>98</v>
      </c>
      <c r="E3" s="28" t="s">
        <v>686</v>
      </c>
      <c r="F3" s="28" t="s">
        <v>687</v>
      </c>
      <c r="G3" s="28" t="s">
        <v>688</v>
      </c>
      <c r="H3" s="28" t="s">
        <v>689</v>
      </c>
      <c r="I3" s="28" t="s">
        <v>690</v>
      </c>
      <c r="J3" s="28" t="s">
        <v>691</v>
      </c>
      <c r="K3" s="28" t="s">
        <v>692</v>
      </c>
      <c r="L3" s="28" t="s">
        <v>693</v>
      </c>
      <c r="M3" s="28" t="s">
        <v>694</v>
      </c>
      <c r="N3" s="28" t="s">
        <v>695</v>
      </c>
      <c r="O3" s="28" t="s">
        <v>696</v>
      </c>
      <c r="P3" s="28" t="s">
        <v>697</v>
      </c>
      <c r="Q3" s="28" t="s">
        <v>698</v>
      </c>
      <c r="R3" s="28" t="s">
        <v>699</v>
      </c>
      <c r="S3" s="28" t="s">
        <v>700</v>
      </c>
      <c r="T3" s="28" t="s">
        <v>701</v>
      </c>
      <c r="U3" s="28" t="s">
        <v>702</v>
      </c>
      <c r="V3" s="28" t="s">
        <v>703</v>
      </c>
      <c r="W3" s="28" t="s">
        <v>503</v>
      </c>
      <c r="X3" s="28" t="s">
        <v>113</v>
      </c>
    </row>
    <row r="4" customFormat="false" ht="35.05" hidden="false" customHeight="false" outlineLevel="0" collapsed="false">
      <c r="A4" s="29" t="s">
        <v>704</v>
      </c>
      <c r="B4" s="29" t="s">
        <v>705</v>
      </c>
      <c r="C4" s="29" t="s">
        <v>706</v>
      </c>
      <c r="D4" s="29" t="s">
        <v>707</v>
      </c>
      <c r="E4" s="29" t="s">
        <v>121</v>
      </c>
      <c r="F4" s="30" t="n">
        <v>2324469</v>
      </c>
      <c r="G4" s="31" t="n">
        <v>1011406</v>
      </c>
      <c r="H4" s="31" t="n">
        <v>0</v>
      </c>
      <c r="I4" s="31" t="n">
        <v>0</v>
      </c>
      <c r="J4" s="31" t="n">
        <v>0</v>
      </c>
      <c r="K4" s="31" t="n">
        <v>2548554</v>
      </c>
      <c r="L4" s="31" t="n">
        <v>1688424</v>
      </c>
      <c r="M4" s="32" t="n">
        <v>11093</v>
      </c>
      <c r="N4" s="30" t="n">
        <v>28369</v>
      </c>
      <c r="O4" s="31" t="n">
        <v>2280807</v>
      </c>
      <c r="P4" s="31" t="n">
        <v>1911043</v>
      </c>
      <c r="Q4" s="31" t="n">
        <v>358671</v>
      </c>
      <c r="R4" s="31" t="n">
        <v>39649</v>
      </c>
      <c r="S4" s="33" t="n">
        <f aca="false">IF(F4&gt;0,(G4+H4)/F4,0)</f>
        <v>0.43511270746136</v>
      </c>
      <c r="T4" s="33" t="n">
        <f aca="false">IF(F4&gt;0,M4/F4,0)</f>
        <v>0.00477227272121074</v>
      </c>
      <c r="U4" s="29" t="n">
        <v>5</v>
      </c>
      <c r="V4" s="29" t="s">
        <v>15</v>
      </c>
      <c r="W4" s="29" t="s">
        <v>708</v>
      </c>
      <c r="X4" s="29" t="s">
        <v>709</v>
      </c>
    </row>
    <row r="5" customFormat="false" ht="35.05" hidden="false" customHeight="false" outlineLevel="0" collapsed="false">
      <c r="A5" s="29" t="s">
        <v>710</v>
      </c>
      <c r="B5" s="29" t="s">
        <v>711</v>
      </c>
      <c r="C5" s="29" t="s">
        <v>706</v>
      </c>
      <c r="D5" s="29" t="s">
        <v>712</v>
      </c>
      <c r="E5" s="29" t="s">
        <v>121</v>
      </c>
      <c r="F5" s="32" t="n">
        <v>1245307</v>
      </c>
      <c r="G5" s="31" t="n">
        <v>71033</v>
      </c>
      <c r="H5" s="31" t="n">
        <v>69874</v>
      </c>
      <c r="I5" s="31" t="n">
        <v>12500</v>
      </c>
      <c r="J5" s="31" t="n">
        <v>140388</v>
      </c>
      <c r="K5" s="31" t="n">
        <v>1306794</v>
      </c>
      <c r="L5" s="31" t="n">
        <v>281741</v>
      </c>
      <c r="M5" s="32" t="n">
        <v>12439</v>
      </c>
      <c r="N5" s="32" t="n">
        <v>12586</v>
      </c>
      <c r="O5" s="31" t="n">
        <v>1055492</v>
      </c>
      <c r="P5" s="31" t="n">
        <v>870053</v>
      </c>
      <c r="Q5" s="31" t="n">
        <v>173000</v>
      </c>
      <c r="R5" s="31" t="n">
        <v>7052</v>
      </c>
      <c r="S5" s="33" t="n">
        <f aca="false">IF(F5&gt;0,(G5+H5)/F5,0)</f>
        <v>0.113150411906462</v>
      </c>
      <c r="T5" s="33" t="n">
        <f aca="false">IF(F5&gt;0,M5/F5,0)</f>
        <v>0.00998870158121652</v>
      </c>
      <c r="U5" s="29" t="n">
        <v>5</v>
      </c>
      <c r="V5" s="29" t="s">
        <v>15</v>
      </c>
      <c r="W5" s="29" t="s">
        <v>713</v>
      </c>
      <c r="X5" s="29" t="s">
        <v>714</v>
      </c>
    </row>
    <row r="6" customFormat="false" ht="35.05" hidden="false" customHeight="false" outlineLevel="0" collapsed="false">
      <c r="A6" s="29" t="s">
        <v>715</v>
      </c>
      <c r="B6" s="29" t="s">
        <v>716</v>
      </c>
      <c r="C6" s="29" t="s">
        <v>717</v>
      </c>
      <c r="D6" s="29" t="s">
        <v>718</v>
      </c>
      <c r="E6" s="29" t="s">
        <v>121</v>
      </c>
      <c r="F6" s="30" t="n">
        <v>3697017</v>
      </c>
      <c r="G6" s="31" t="n">
        <v>214781</v>
      </c>
      <c r="H6" s="31" t="n">
        <v>122141</v>
      </c>
      <c r="I6" s="31" t="n">
        <v>0</v>
      </c>
      <c r="J6" s="31" t="n">
        <v>0</v>
      </c>
      <c r="K6" s="31" t="n">
        <v>7410382</v>
      </c>
      <c r="L6" s="31" t="n">
        <v>1896704</v>
      </c>
      <c r="M6" s="32" t="n">
        <v>0</v>
      </c>
      <c r="N6" s="30" t="n">
        <v>64729</v>
      </c>
      <c r="O6" s="31" t="n">
        <v>3753224</v>
      </c>
      <c r="P6" s="31" t="n">
        <v>2744514</v>
      </c>
      <c r="Q6" s="31" t="n">
        <v>1008710</v>
      </c>
      <c r="R6" s="31" t="n">
        <v>26398</v>
      </c>
      <c r="S6" s="33" t="n">
        <f aca="false">IF(F6&gt;0,(G6+H6)/F6,0)</f>
        <v>0.0911334732840017</v>
      </c>
      <c r="T6" s="33" t="n">
        <f aca="false">IF(F6&gt;0,M6/F6,0)</f>
        <v>0</v>
      </c>
      <c r="U6" s="29" t="n">
        <v>0</v>
      </c>
      <c r="V6" s="29" t="s">
        <v>15</v>
      </c>
      <c r="W6" s="29" t="s">
        <v>719</v>
      </c>
      <c r="X6" s="29" t="s">
        <v>720</v>
      </c>
    </row>
    <row r="7" customFormat="false" ht="23.85" hidden="false" customHeight="false" outlineLevel="0" collapsed="false">
      <c r="A7" s="29" t="s">
        <v>721</v>
      </c>
      <c r="B7" s="29" t="s">
        <v>722</v>
      </c>
      <c r="C7" s="29" t="s">
        <v>717</v>
      </c>
      <c r="D7" s="29" t="s">
        <v>723</v>
      </c>
      <c r="E7" s="29" t="s">
        <v>121</v>
      </c>
      <c r="F7" s="32" t="n">
        <v>1443384</v>
      </c>
      <c r="G7" s="31" t="n">
        <v>5050</v>
      </c>
      <c r="H7" s="31" t="n">
        <v>26816</v>
      </c>
      <c r="I7" s="31" t="n">
        <v>0</v>
      </c>
      <c r="J7" s="31" t="n">
        <v>0</v>
      </c>
      <c r="K7" s="31" t="n">
        <v>131120</v>
      </c>
      <c r="L7" s="31" t="n">
        <v>177663</v>
      </c>
      <c r="M7" s="32" t="n">
        <v>58</v>
      </c>
      <c r="N7" s="30" t="n">
        <v>61473</v>
      </c>
      <c r="O7" s="31" t="n">
        <v>1508606</v>
      </c>
      <c r="P7" s="31" t="n">
        <v>1199356</v>
      </c>
      <c r="Q7" s="31" t="n">
        <v>309193</v>
      </c>
      <c r="R7" s="31" t="n">
        <v>4269</v>
      </c>
      <c r="S7" s="33" t="n">
        <f aca="false">IF(F7&gt;0,(G7+H7)/F7,0)</f>
        <v>0.0220772850468067</v>
      </c>
      <c r="T7" s="33" t="n">
        <f aca="false">IF(F7&gt;0,M7/F7,0)</f>
        <v>4.01833469125333E-005</v>
      </c>
      <c r="U7" s="29" t="n">
        <v>11</v>
      </c>
      <c r="V7" s="29" t="s">
        <v>724</v>
      </c>
      <c r="W7" s="29" t="s">
        <v>719</v>
      </c>
      <c r="X7" s="29" t="s">
        <v>725</v>
      </c>
    </row>
    <row r="8" customFormat="false" ht="35.05" hidden="false" customHeight="false" outlineLevel="0" collapsed="false">
      <c r="A8" s="29" t="s">
        <v>726</v>
      </c>
      <c r="B8" s="29" t="s">
        <v>727</v>
      </c>
      <c r="C8" s="29" t="s">
        <v>728</v>
      </c>
      <c r="D8" s="29" t="s">
        <v>729</v>
      </c>
      <c r="E8" s="29" t="s">
        <v>115</v>
      </c>
      <c r="F8" s="30" t="n">
        <v>9029642</v>
      </c>
      <c r="G8" s="31" t="n">
        <v>12205</v>
      </c>
      <c r="H8" s="31" t="n">
        <v>90</v>
      </c>
      <c r="I8" s="31" t="n">
        <v>0</v>
      </c>
      <c r="J8" s="31" t="n">
        <v>0</v>
      </c>
      <c r="K8" s="31" t="n">
        <v>8219784</v>
      </c>
      <c r="L8" s="31" t="n">
        <v>5794927</v>
      </c>
      <c r="M8" s="32" t="n">
        <v>0</v>
      </c>
      <c r="N8" s="30" t="n">
        <v>151784</v>
      </c>
      <c r="O8" s="31" t="n">
        <v>8589897</v>
      </c>
      <c r="P8" s="31" t="n">
        <v>0</v>
      </c>
      <c r="Q8" s="31" t="n">
        <v>0</v>
      </c>
      <c r="R8" s="31" t="n">
        <v>135881</v>
      </c>
      <c r="S8" s="33" t="n">
        <f aca="false">IF(F8&gt;0,(G8+H8)/F8,0)</f>
        <v>0.00136162651852643</v>
      </c>
      <c r="T8" s="33" t="n">
        <f aca="false">IF(F8&gt;0,M8/F8,0)</f>
        <v>0</v>
      </c>
      <c r="U8" s="29" t="n">
        <v>13</v>
      </c>
      <c r="V8" s="29" t="s">
        <v>15</v>
      </c>
      <c r="W8" s="29" t="s">
        <v>730</v>
      </c>
      <c r="X8" s="29" t="s">
        <v>731</v>
      </c>
    </row>
    <row r="9" customFormat="false" ht="23.85" hidden="false" customHeight="false" outlineLevel="0" collapsed="false">
      <c r="A9" s="29" t="s">
        <v>732</v>
      </c>
      <c r="B9" s="29" t="s">
        <v>716</v>
      </c>
      <c r="C9" s="29" t="s">
        <v>717</v>
      </c>
      <c r="D9" s="29" t="s">
        <v>733</v>
      </c>
      <c r="E9" s="29" t="s">
        <v>121</v>
      </c>
      <c r="F9" s="30" t="n">
        <v>6082191</v>
      </c>
      <c r="G9" s="31" t="n">
        <v>221939</v>
      </c>
      <c r="H9" s="31" t="n">
        <v>299086</v>
      </c>
      <c r="I9" s="31" t="n">
        <v>0</v>
      </c>
      <c r="J9" s="31" t="n">
        <v>0</v>
      </c>
      <c r="K9" s="31" t="n">
        <v>3872464</v>
      </c>
      <c r="L9" s="31" t="n">
        <v>4707074</v>
      </c>
      <c r="M9" s="32" t="n">
        <v>0</v>
      </c>
      <c r="N9" s="30" t="n">
        <v>73597</v>
      </c>
      <c r="O9" s="31" t="n">
        <v>6548439</v>
      </c>
      <c r="P9" s="31" t="n">
        <v>2993677</v>
      </c>
      <c r="Q9" s="31" t="n">
        <v>3554762</v>
      </c>
      <c r="R9" s="31" t="n">
        <v>50173</v>
      </c>
      <c r="S9" s="33" t="n">
        <f aca="false">IF(F9&gt;0,(G9+H9)/F9,0)</f>
        <v>0.0856640312676797</v>
      </c>
      <c r="T9" s="33" t="n">
        <f aca="false">IF(F9&gt;0,M9/F9,0)</f>
        <v>0</v>
      </c>
      <c r="U9" s="29" t="n">
        <v>0</v>
      </c>
      <c r="V9" s="29" t="s">
        <v>15</v>
      </c>
      <c r="W9" s="29" t="s">
        <v>734</v>
      </c>
      <c r="X9" s="29" t="s">
        <v>735</v>
      </c>
    </row>
    <row r="10" customFormat="false" ht="23.85" hidden="false" customHeight="false" outlineLevel="0" collapsed="false">
      <c r="A10" s="29" t="s">
        <v>736</v>
      </c>
      <c r="B10" s="29" t="s">
        <v>737</v>
      </c>
      <c r="C10" s="29" t="s">
        <v>717</v>
      </c>
      <c r="D10" s="29" t="s">
        <v>738</v>
      </c>
      <c r="E10" s="29" t="s">
        <v>121</v>
      </c>
      <c r="F10" s="30" t="n">
        <v>4162080</v>
      </c>
      <c r="G10" s="31" t="n">
        <v>39100</v>
      </c>
      <c r="H10" s="31" t="n">
        <v>16134</v>
      </c>
      <c r="I10" s="31" t="n">
        <v>33232</v>
      </c>
      <c r="J10" s="31" t="n">
        <v>0</v>
      </c>
      <c r="K10" s="31" t="n">
        <v>3861412</v>
      </c>
      <c r="L10" s="31" t="n">
        <v>1133308</v>
      </c>
      <c r="M10" s="32" t="n">
        <v>0</v>
      </c>
      <c r="N10" s="30" t="n">
        <v>590833</v>
      </c>
      <c r="O10" s="31" t="n">
        <v>4306638</v>
      </c>
      <c r="P10" s="31" t="n">
        <v>0</v>
      </c>
      <c r="Q10" s="31" t="n">
        <v>627814</v>
      </c>
      <c r="R10" s="31" t="n">
        <v>36830</v>
      </c>
      <c r="S10" s="33" t="n">
        <f aca="false">IF(F10&gt;0,(G10+H10)/F10,0)</f>
        <v>0.0132707684619229</v>
      </c>
      <c r="T10" s="33" t="n">
        <f aca="false">IF(F10&gt;0,M10/F10,0)</f>
        <v>0</v>
      </c>
      <c r="U10" s="29" t="n">
        <v>14</v>
      </c>
      <c r="V10" s="29" t="s">
        <v>739</v>
      </c>
      <c r="W10" s="29" t="s">
        <v>713</v>
      </c>
      <c r="X10" s="29" t="s">
        <v>740</v>
      </c>
    </row>
    <row r="11" customFormat="false" ht="35.05" hidden="false" customHeight="false" outlineLevel="0" collapsed="false">
      <c r="A11" s="29" t="s">
        <v>741</v>
      </c>
      <c r="B11" s="29" t="s">
        <v>711</v>
      </c>
      <c r="C11" s="29" t="s">
        <v>706</v>
      </c>
      <c r="D11" s="29" t="s">
        <v>742</v>
      </c>
      <c r="E11" s="29" t="s">
        <v>121</v>
      </c>
      <c r="F11" s="30" t="n">
        <v>29797591</v>
      </c>
      <c r="G11" s="31" t="n">
        <v>4893540</v>
      </c>
      <c r="H11" s="31" t="n">
        <v>4431000</v>
      </c>
      <c r="I11" s="31" t="n">
        <v>0</v>
      </c>
      <c r="J11" s="31" t="n">
        <v>175850</v>
      </c>
      <c r="K11" s="31" t="n">
        <v>156529346</v>
      </c>
      <c r="L11" s="31" t="n">
        <v>15464591</v>
      </c>
      <c r="M11" s="30" t="n">
        <v>1026687</v>
      </c>
      <c r="N11" s="30" t="n">
        <v>461347</v>
      </c>
      <c r="O11" s="31" t="n">
        <v>28429843</v>
      </c>
      <c r="P11" s="31" t="n">
        <v>22432686</v>
      </c>
      <c r="Q11" s="31" t="n">
        <v>3686709</v>
      </c>
      <c r="R11" s="31" t="n">
        <v>394902</v>
      </c>
      <c r="S11" s="33" t="n">
        <f aca="false">IF(F11&gt;0,(G11+H11)/F11,0)</f>
        <v>0.312929323716135</v>
      </c>
      <c r="T11" s="33" t="n">
        <f aca="false">IF(F11&gt;0,M11/F11,0)</f>
        <v>0.0344553692276668</v>
      </c>
      <c r="U11" s="29" t="n">
        <v>0</v>
      </c>
      <c r="V11" s="29" t="s">
        <v>15</v>
      </c>
      <c r="W11" s="29" t="s">
        <v>743</v>
      </c>
      <c r="X11" s="29" t="s">
        <v>744</v>
      </c>
    </row>
    <row r="12" customFormat="false" ht="23.85" hidden="false" customHeight="false" outlineLevel="0" collapsed="false">
      <c r="A12" s="29" t="s">
        <v>745</v>
      </c>
      <c r="B12" s="29" t="s">
        <v>746</v>
      </c>
      <c r="C12" s="29" t="s">
        <v>717</v>
      </c>
      <c r="D12" s="29" t="s">
        <v>747</v>
      </c>
      <c r="E12" s="29" t="s">
        <v>121</v>
      </c>
      <c r="F12" s="30" t="n">
        <v>29774649</v>
      </c>
      <c r="G12" s="31" t="n">
        <v>0</v>
      </c>
      <c r="H12" s="31" t="n">
        <v>36466</v>
      </c>
      <c r="I12" s="31" t="n">
        <v>0</v>
      </c>
      <c r="J12" s="31" t="n">
        <v>0</v>
      </c>
      <c r="K12" s="31" t="n">
        <v>23619910</v>
      </c>
      <c r="L12" s="31" t="n">
        <v>15453810</v>
      </c>
      <c r="M12" s="32" t="n">
        <v>0</v>
      </c>
      <c r="N12" s="30" t="n">
        <v>1564041</v>
      </c>
      <c r="O12" s="31" t="n">
        <v>29644416</v>
      </c>
      <c r="P12" s="31" t="n">
        <v>27791190</v>
      </c>
      <c r="Q12" s="31" t="n">
        <v>1853226</v>
      </c>
      <c r="R12" s="31" t="n">
        <v>0</v>
      </c>
      <c r="S12" s="33" t="n">
        <f aca="false">IF(F12&gt;0,(G12+H12)/F12,0)</f>
        <v>0.00122473316142199</v>
      </c>
      <c r="T12" s="33" t="n">
        <f aca="false">IF(F12&gt;0,M12/F12,0)</f>
        <v>0</v>
      </c>
      <c r="U12" s="29" t="n">
        <v>13</v>
      </c>
      <c r="V12" s="29" t="s">
        <v>748</v>
      </c>
      <c r="W12" s="29" t="s">
        <v>719</v>
      </c>
      <c r="X12" s="29" t="s">
        <v>749</v>
      </c>
    </row>
    <row r="13" customFormat="false" ht="35.05" hidden="false" customHeight="false" outlineLevel="0" collapsed="false">
      <c r="A13" s="29" t="s">
        <v>750</v>
      </c>
      <c r="B13" s="29" t="s">
        <v>751</v>
      </c>
      <c r="C13" s="29" t="s">
        <v>752</v>
      </c>
      <c r="D13" s="29" t="s">
        <v>753</v>
      </c>
      <c r="E13" s="29" t="s">
        <v>121</v>
      </c>
      <c r="F13" s="30" t="n">
        <v>14185992</v>
      </c>
      <c r="G13" s="31" t="n">
        <v>792184</v>
      </c>
      <c r="H13" s="31" t="n">
        <v>1671094</v>
      </c>
      <c r="I13" s="31" t="n">
        <v>0</v>
      </c>
      <c r="J13" s="31" t="n">
        <v>165563</v>
      </c>
      <c r="K13" s="31" t="n">
        <v>17436739</v>
      </c>
      <c r="L13" s="31" t="n">
        <v>11579170</v>
      </c>
      <c r="M13" s="30" t="n">
        <v>393285</v>
      </c>
      <c r="N13" s="30" t="n">
        <v>1055107</v>
      </c>
      <c r="O13" s="31" t="n">
        <v>16059094</v>
      </c>
      <c r="P13" s="31" t="n">
        <v>14166796</v>
      </c>
      <c r="Q13" s="31" t="n">
        <v>1499013</v>
      </c>
      <c r="R13" s="31" t="n">
        <v>84716</v>
      </c>
      <c r="S13" s="33" t="n">
        <f aca="false">IF(F13&gt;0,(G13+H13)/F13,0)</f>
        <v>0.173641575435824</v>
      </c>
      <c r="T13" s="33" t="n">
        <f aca="false">IF(F13&gt;0,M13/F13,0)</f>
        <v>0.0277234753833218</v>
      </c>
      <c r="U13" s="29" t="n">
        <v>16</v>
      </c>
      <c r="V13" s="29" t="s">
        <v>754</v>
      </c>
      <c r="W13" s="29" t="s">
        <v>755</v>
      </c>
      <c r="X13" s="29" t="s">
        <v>756</v>
      </c>
    </row>
    <row r="14" customFormat="false" ht="23.85" hidden="false" customHeight="false" outlineLevel="0" collapsed="false">
      <c r="A14" s="29" t="s">
        <v>757</v>
      </c>
      <c r="B14" s="29" t="s">
        <v>716</v>
      </c>
      <c r="C14" s="29" t="s">
        <v>717</v>
      </c>
      <c r="D14" s="29" t="s">
        <v>758</v>
      </c>
      <c r="E14" s="29" t="s">
        <v>121</v>
      </c>
      <c r="F14" s="30" t="n">
        <v>13554876</v>
      </c>
      <c r="G14" s="31" t="n">
        <v>943592</v>
      </c>
      <c r="H14" s="31" t="n">
        <v>1055988</v>
      </c>
      <c r="I14" s="31" t="n">
        <v>0</v>
      </c>
      <c r="J14" s="31" t="n">
        <v>0</v>
      </c>
      <c r="K14" s="31" t="n">
        <v>28165650</v>
      </c>
      <c r="L14" s="31" t="n">
        <v>9564093</v>
      </c>
      <c r="M14" s="32" t="n">
        <v>0</v>
      </c>
      <c r="N14" s="30" t="n">
        <v>1216533</v>
      </c>
      <c r="O14" s="31" t="n">
        <v>13034950</v>
      </c>
      <c r="P14" s="31" t="n">
        <v>9451187</v>
      </c>
      <c r="Q14" s="31" t="n">
        <v>2501064</v>
      </c>
      <c r="R14" s="31" t="n">
        <v>56221</v>
      </c>
      <c r="S14" s="33" t="n">
        <f aca="false">IF(F14&gt;0,(G14+H14)/F14,0)</f>
        <v>0.147517395216304</v>
      </c>
      <c r="T14" s="33" t="n">
        <f aca="false">IF(F14&gt;0,M14/F14,0)</f>
        <v>0</v>
      </c>
      <c r="U14" s="29" t="n">
        <v>0</v>
      </c>
      <c r="V14" s="29" t="s">
        <v>15</v>
      </c>
      <c r="W14" s="29" t="s">
        <v>719</v>
      </c>
      <c r="X14" s="29" t="s">
        <v>759</v>
      </c>
    </row>
    <row r="15" customFormat="false" ht="23.85" hidden="false" customHeight="false" outlineLevel="0" collapsed="false">
      <c r="A15" s="29" t="s">
        <v>760</v>
      </c>
      <c r="B15" s="29" t="s">
        <v>761</v>
      </c>
      <c r="C15" s="29" t="s">
        <v>717</v>
      </c>
      <c r="D15" s="29" t="s">
        <v>762</v>
      </c>
      <c r="E15" s="29" t="s">
        <v>121</v>
      </c>
      <c r="F15" s="30" t="n">
        <v>9364550</v>
      </c>
      <c r="G15" s="31" t="n">
        <v>240169</v>
      </c>
      <c r="H15" s="31" t="n">
        <v>0</v>
      </c>
      <c r="I15" s="31" t="n">
        <v>0</v>
      </c>
      <c r="J15" s="31" t="n">
        <v>0</v>
      </c>
      <c r="K15" s="31" t="n">
        <v>8860706</v>
      </c>
      <c r="L15" s="31" t="n">
        <v>2983064</v>
      </c>
      <c r="M15" s="32" t="n">
        <v>0</v>
      </c>
      <c r="N15" s="30" t="n">
        <v>115875</v>
      </c>
      <c r="O15" s="31" t="n">
        <v>8648067</v>
      </c>
      <c r="P15" s="31" t="n">
        <v>7300076</v>
      </c>
      <c r="Q15" s="31" t="n">
        <v>1347991</v>
      </c>
      <c r="R15" s="31" t="n">
        <v>130988</v>
      </c>
      <c r="S15" s="33" t="n">
        <f aca="false">IF(F15&gt;0,(G15+H15)/F15,0)</f>
        <v>0.0256466140925085</v>
      </c>
      <c r="T15" s="33" t="n">
        <f aca="false">IF(F15&gt;0,M15/F15,0)</f>
        <v>0</v>
      </c>
      <c r="U15" s="29" t="n">
        <v>0</v>
      </c>
      <c r="V15" s="29" t="s">
        <v>15</v>
      </c>
      <c r="W15" s="29" t="s">
        <v>719</v>
      </c>
      <c r="X15" s="29" t="s">
        <v>763</v>
      </c>
    </row>
    <row r="16" customFormat="false" ht="23.85" hidden="false" customHeight="false" outlineLevel="0" collapsed="false">
      <c r="A16" s="29" t="s">
        <v>764</v>
      </c>
      <c r="B16" s="29" t="s">
        <v>765</v>
      </c>
      <c r="C16" s="29" t="s">
        <v>717</v>
      </c>
      <c r="D16" s="29" t="s">
        <v>766</v>
      </c>
      <c r="E16" s="29" t="s">
        <v>121</v>
      </c>
      <c r="F16" s="30" t="n">
        <v>9066638</v>
      </c>
      <c r="G16" s="31" t="n">
        <v>548141</v>
      </c>
      <c r="H16" s="31" t="n">
        <v>20630</v>
      </c>
      <c r="I16" s="31" t="n">
        <v>0</v>
      </c>
      <c r="J16" s="31" t="n">
        <v>0</v>
      </c>
      <c r="K16" s="31" t="n">
        <v>8627178</v>
      </c>
      <c r="L16" s="31" t="n">
        <v>2818731</v>
      </c>
      <c r="M16" s="32" t="n">
        <v>0</v>
      </c>
      <c r="N16" s="30" t="n">
        <v>960540</v>
      </c>
      <c r="O16" s="31" t="n">
        <v>8501216</v>
      </c>
      <c r="P16" s="31" t="n">
        <v>7427525</v>
      </c>
      <c r="Q16" s="31" t="n">
        <v>930018</v>
      </c>
      <c r="R16" s="31" t="n">
        <v>0</v>
      </c>
      <c r="S16" s="33" t="n">
        <f aca="false">IF(F16&gt;0,(G16+H16)/F16,0)</f>
        <v>0.0627322939329882</v>
      </c>
      <c r="T16" s="33" t="n">
        <f aca="false">IF(F16&gt;0,M16/F16,0)</f>
        <v>0</v>
      </c>
      <c r="U16" s="29" t="n">
        <v>6</v>
      </c>
      <c r="V16" s="29" t="s">
        <v>767</v>
      </c>
      <c r="W16" s="29" t="s">
        <v>719</v>
      </c>
      <c r="X16" s="29" t="s">
        <v>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2026-03-09T21:34:57Z</dcterms:created>
  <dc:creator>openpyxl</dc:creator>
  <dc:description/>
  <dc:language>en-US</dc:language>
  <cp:lastModifiedBy/>
  <dcterms:modified xsi:type="dcterms:W3CDTF">2026-03-09T22:35:46Z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