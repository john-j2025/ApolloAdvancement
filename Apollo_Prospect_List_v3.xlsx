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PROSPECT LIST" sheetId="1" state="visible" r:id="rId3"/>
    <sheet name="Catholic Schools" sheetId="2" state="visible" r:id="rId4"/>
    <sheet name="Catholic Schools - Financials" sheetId="3" state="visible" r:id="rId5"/>
    <sheet name="Christian Schools - Financials" sheetId="4" state="visible" r:id="rId6"/>
    <sheet name="Christian Schools (Edvance)" sheetId="5" state="visible" r:id="rId7"/>
    <sheet name="Arts Organizations" sheetId="6" state="visible" r:id="rId8"/>
    <sheet name="CRA Financial Data" sheetId="7" state="visible" r:id="rId9"/>
    <sheet name="CharityData Example (Northmount" sheetId="8" state="visible" r:id="rId10"/>
    <sheet name="Key Associations" sheetId="9" state="visible" r:id="rId11"/>
    <sheet name="How to Pull CharityData" sheetId="10" state="visible" r:id="rId12"/>
    <sheet name="Catholic Expanded - Financials" sheetId="11" state="visible" r:id="rId13"/>
    <sheet name="Arts Expanded - Financials"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<sst xmlns="http://schemas.openxmlformats.org/spreadsheetml/2006/main" count="1681" uniqueCount="946">
  <si>
    <t xml:space="preserve">APOLLO ADVANCEMENT - MASTER PROSPECT LIST</t>
  </si>
  <si>
    <t xml:space="preserve">Ranked by prospect quality. Sweet spot: Rev $200K-$2M, Fundraising Exp &lt;$50K, Consulting &lt;$25K, limited existing fundraising infrastructure.</t>
  </si>
  <si>
    <t xml:space="preserve">Rank</t>
  </si>
  <si>
    <t xml:space="preserve">Tier</t>
  </si>
  <si>
    <t xml:space="preserve">Organization</t>
  </si>
  <si>
    <t xml:space="preserve">Category</t>
  </si>
  <si>
    <t xml:space="preserve">Province</t>
  </si>
  <si>
    <t xml:space="preserve">Total Revenue</t>
  </si>
  <si>
    <t xml:space="preserve">Receipted Donations</t>
  </si>
  <si>
    <t xml:space="preserve">Total Donations</t>
  </si>
  <si>
    <t xml:space="preserve">Fundraising Exp</t>
  </si>
  <si>
    <t xml:space="preserve">Consulting Fees</t>
  </si>
  <si>
    <t xml:space="preserve">Total Assets</t>
  </si>
  <si>
    <t xml:space="preserve">Donation %</t>
  </si>
  <si>
    <t xml:space="preserve">Assessment Summary</t>
  </si>
  <si>
    <t xml:space="preserve">TOP PRIORITY</t>
  </si>
  <si>
    <t xml:space="preserve">Hawthorn School for Girls</t>
  </si>
  <si>
    <t xml:space="preserve">Catholic School (CIOCS)</t>
  </si>
  <si>
    <t xml:space="preserve">ON</t>
  </si>
  <si>
    <t xml:space="preserve">EXCELLENT PROSPECT. Rev $2.9M (above sweet spot ceiling but ZERO fundraising spend). Only $16K consulting</t>
  </si>
  <si>
    <t xml:space="preserve">Rhema CS / Ptbo Christian School</t>
  </si>
  <si>
    <t xml:space="preserve">Christian School (Edvance)</t>
  </si>
  <si>
    <t xml:space="preserve">TOP PRIORITY. IN PETERBOROUGH. Rev $1.26M in sweet spot</t>
  </si>
  <si>
    <t xml:space="preserve">Cantabile Choirs of Kingston</t>
  </si>
  <si>
    <t xml:space="preserve">Arts Organization</t>
  </si>
  <si>
    <t xml:space="preserve">EXCELLENT PROSPECT. Revenue $386K, $0 fundraising spend, only $24K consulting. Receipted donations $135K already decent but ZERO fundraising infrastructure</t>
  </si>
  <si>
    <t xml:space="preserve">Scarborough Philharmonic Orchestra</t>
  </si>
  <si>
    <t xml:space="preserve">EXCELLENT PROSPECT. Revenue $222K in sweet spot. ZERO fundraising spend</t>
  </si>
  <si>
    <t xml:space="preserve">STRONG</t>
  </si>
  <si>
    <t xml:space="preserve">Joan of Arc Academy</t>
  </si>
  <si>
    <t xml:space="preserve">Catholic School (Expanded)</t>
  </si>
  <si>
    <t xml:space="preserve">STRONG PROSPECT - Rev $2.3M slightly above sweet spot but $1M+ in donations with only $11K fundraising exp and $28K consulting. Massive untapped potential.</t>
  </si>
  <si>
    <t xml:space="preserve">Belleville District CS</t>
  </si>
  <si>
    <t xml:space="preserve">INTERESTING. Rev $1.7M but receipted donations $3.1M EXCEED revenue (capital campaign?). Only $4.7K fundraising spend</t>
  </si>
  <si>
    <t xml:space="preserve">Brott Music Festival</t>
  </si>
  <si>
    <t xml:space="preserve">Arts Organization (Expanded)</t>
  </si>
  <si>
    <t xml:space="preserve">STRONG PROSPECT - Rev $1.7M in sweet spot. Zero fundraising exp, $11K consulting. $226K donations + $645K gov</t>
  </si>
  <si>
    <t xml:space="preserve">Kingston CS</t>
  </si>
  <si>
    <t xml:space="preserve">STRONG PROSPECT. Rev $1.4M in sweet spot. Only $3.8K fundraising, $10K consulting</t>
  </si>
  <si>
    <t xml:space="preserve">Leonardo Da Vinci Academy</t>
  </si>
  <si>
    <t xml:space="preserve">STRONG PROSPECT - Rev $1.25M in sweet spot. Only $12K fundraising exp, $13K consulting. $140K special events shows some capacity</t>
  </si>
  <si>
    <t xml:space="preserve">4th Line Theatre (Millbrook)</t>
  </si>
  <si>
    <t xml:space="preserve">STRONG PROSPECT - Near Peterborough. Rev $1.2M in sweet spot. Zero fundraising exp, $17K consulting</t>
  </si>
  <si>
    <t xml:space="preserve">Orillia CS</t>
  </si>
  <si>
    <t xml:space="preserve">STRONG PROSPECT. Rev $996K in sweet spot. Only $13K fundraising, $15K consulting</t>
  </si>
  <si>
    <t xml:space="preserve">Our Lady of the Wayside</t>
  </si>
  <si>
    <t xml:space="preserve">STRONG PROSPECT. YOUR BACKYARD (Peterborough). Rev $603K in sweet spot</t>
  </si>
  <si>
    <t xml:space="preserve">Ontario Philharmonic</t>
  </si>
  <si>
    <t xml:space="preserve">STRONG PROSPECT. Revenue $447K but NEGATIVE net assets ($17K assets vs $80K liabilities) = financial stress. ZERO fundraising spend, only $4K consulting</t>
  </si>
  <si>
    <t xml:space="preserve">Ottawa Symphony Orchestra</t>
  </si>
  <si>
    <t xml:space="preserve">STRONG PROSPECT. Revenue $425K, only $1.5K fundraising spend (basically zero). $92K receipted donations with room to grow</t>
  </si>
  <si>
    <t xml:space="preserve">Sonrise CA (Picton/Belleville)</t>
  </si>
  <si>
    <t xml:space="preserve">GOOD PROSPECT. Rev $377K in sweet spot. $22K fundraising, $6K consulting</t>
  </si>
  <si>
    <t xml:space="preserve">Chorus Niagara</t>
  </si>
  <si>
    <t xml:space="preserve">STRONG PROSPECT. Revenue $366K in sweet spot. Fundraising spend only $12.9K (3.5% of rev) = minimal systematic fundraising</t>
  </si>
  <si>
    <t xml:space="preserve">Oakville Symphony Orchestra</t>
  </si>
  <si>
    <t xml:space="preserve">STRONG PROSPECT - Rev $323K in sweet spot. Zero fundraising exp, $12K consulting. $67K donations + $90K special events</t>
  </si>
  <si>
    <t xml:space="preserve">Peterborough Symphony Orchestra</t>
  </si>
  <si>
    <t xml:space="preserve">STRONG PROSPECT - YOUR BACKYARD. Rev $242K in sweet spot. ZERO fundraising exp but $32K consulting</t>
  </si>
  <si>
    <t xml:space="preserve">Peterborough Theatre Guild</t>
  </si>
  <si>
    <t xml:space="preserve">STRONG PROSPECT - YOUR BACKYARD. Rev $224K in sweet spot. Zero fundraising exp, $4.2K consulting</t>
  </si>
  <si>
    <t xml:space="preserve">Cathedral Bluffs Symphony Orchestra</t>
  </si>
  <si>
    <t xml:space="preserve">GOOD PROSPECT - Rev $199K at sweet spot floor. ZERO fundraising exp, $4.8K consulting. $165K from special events = strong event capacity but no structured fundraising.</t>
  </si>
  <si>
    <t xml:space="preserve">GOOD</t>
  </si>
  <si>
    <t xml:space="preserve">Durham CHS (Bowmanville)</t>
  </si>
  <si>
    <t xml:space="preserve">GOOD PROSPECT. Rev $1.6M in sweet spot. Only $14K fundraising, $44K consulting</t>
  </si>
  <si>
    <t xml:space="preserve">Muskoka CS (Port Sydney)</t>
  </si>
  <si>
    <t xml:space="preserve">GOOD PROSPECT. Rev $1.4M in sweet spot. $26K fundraising, $8K consulting</t>
  </si>
  <si>
    <t xml:space="preserve">Northumberland CS (Cobourg)</t>
  </si>
  <si>
    <t xml:space="preserve">GOOD PROSPECT. Rev $897K in sweet spot. $18K fundraising, $8K consulting -- minimal infrastructure</t>
  </si>
  <si>
    <t xml:space="preserve">Our Lady of the Pillar Academy</t>
  </si>
  <si>
    <t xml:space="preserve">GOOD PROSPECT. Rev $499K in sweet spot. ZERO fundraising spend, $7K consulting</t>
  </si>
  <si>
    <t xml:space="preserve">Maryvale Academy</t>
  </si>
  <si>
    <t xml:space="preserve">GOOD PROSPECT. Rev $433K in sweet spot. $29K fundraising spend, $24K consulting -- has some infrastructure but modest</t>
  </si>
  <si>
    <t xml:space="preserve">Academia Stella Maris</t>
  </si>
  <si>
    <t xml:space="preserve">GOOD PROSPECT. Rev $278K in sweet spot. Minimal fundraising ($2.1K), minimal consulting ($700)</t>
  </si>
  <si>
    <t xml:space="preserve">Timmins Symphony Orchestra</t>
  </si>
  <si>
    <t xml:space="preserve">GOOD PROSPECT - Rev $277K in sweet spot. Only $401 fundraising, $5K consulting. $72K receipted donations</t>
  </si>
  <si>
    <t xml:space="preserve">Brantford Symphony Orchestra</t>
  </si>
  <si>
    <t xml:space="preserve">GOOD PROSPECT - Rev $195K near sweet spot floor. $15K fundraising, only $1.3K consulting. $83K special events = some capacity but no professional fundraising.</t>
  </si>
  <si>
    <t xml:space="preserve">Guelph Symphony Orchestra</t>
  </si>
  <si>
    <t xml:space="preserve">GOOD PROSPECT - Rev $190K just below sweet spot floor. $162 fundraising exp = essentially zero. $4.4K consulting</t>
  </si>
  <si>
    <t xml:space="preserve">Georgian Bay Symphony</t>
  </si>
  <si>
    <t xml:space="preserve">GOOD PROSPECT - Rev $187K near sweet spot floor. $13K fundraising, ZERO consulting. $53K in donations</t>
  </si>
  <si>
    <t xml:space="preserve">Burlington Symphony Orchestra</t>
  </si>
  <si>
    <t xml:space="preserve">GOOD PROSPECT but on smaller side. Revenue $160K (below $200K threshold). Only $10.5K in receipted donations = almost no donor program</t>
  </si>
  <si>
    <t xml:space="preserve">WORTH A LOOK</t>
  </si>
  <si>
    <t xml:space="preserve">Priory School</t>
  </si>
  <si>
    <t xml:space="preserve">QC</t>
  </si>
  <si>
    <t xml:space="preserve">POSSIBLE - Rev $3.7M above sweet spot. $337K donations but ZERO fundraising exp and $65K consulting. English-language Montreal school</t>
  </si>
  <si>
    <t xml:space="preserve">Redeemer CHS (Ottawa)</t>
  </si>
  <si>
    <t xml:space="preserve">AT CEILING. Rev $2.5M just above sweet spot. But only $7.6K fundraising, $2.6K consulting = zero infrastructure</t>
  </si>
  <si>
    <t xml:space="preserve">Trenton CS</t>
  </si>
  <si>
    <t xml:space="preserve">AT CEILING. Rev $2.1M just above sweet spot. $30K fundraising, $15K consulting -- moderate</t>
  </si>
  <si>
    <t xml:space="preserve">Mariposa Folk Festival</t>
  </si>
  <si>
    <t xml:space="preserve">AT CEILING - Rev $1.99M at top of sweet spot. Already $198K fundraising exp and $25K consulting. Some professional infrastructure exists</t>
  </si>
  <si>
    <t xml:space="preserve">College Rivier</t>
  </si>
  <si>
    <t xml:space="preserve">POSSIBLE - Rev $1.4M in sweet spot, virtually zero fundraising ($58). But $61K consulting and net liabilities. QC francophone market.</t>
  </si>
  <si>
    <t xml:space="preserve">Westben Arts Festival Theatre</t>
  </si>
  <si>
    <t xml:space="preserve">MODERATE - Near Peterborough region. Rev $1.1M in sweet spot. $49K fundraising (near ceiling), $11K consulting</t>
  </si>
  <si>
    <t xml:space="preserve">Heritage CS (Lindsay)</t>
  </si>
  <si>
    <t xml:space="preserve">MODERATE. Rev $1.1M in sweet spot but $50K fundraising spend (right at threshold). Only $2.6K consulting</t>
  </si>
  <si>
    <t xml:space="preserve">Elora Singers</t>
  </si>
  <si>
    <t xml:space="preserve">MODERATE PROSPECT. Revenue $484K but already spending $53K on fundraising and uses 7 methods = more sophisticated. Only $16K receipted donations is surprisingly low for their profile</t>
  </si>
  <si>
    <t xml:space="preserve">Grand Philharmonic Choir</t>
  </si>
  <si>
    <t xml:space="preserve">MODERATE PROSPECT. Revenue $441K in sweet spot. Already has $178K receipted donations and uses 8 fundraising methods = more sophisticated</t>
  </si>
  <si>
    <t xml:space="preserve">Sault Ste Marie Community Theatre</t>
  </si>
  <si>
    <t xml:space="preserve">POSSIBLE - Rev $287K in sweet spot. Zero fundraising, but $63K consulting already. $92K gov funding</t>
  </si>
  <si>
    <t xml:space="preserve">Cambridge Symphony Orchestra</t>
  </si>
  <si>
    <t xml:space="preserve">SMALL but interesting. Rev $122K below floor. Zero fundraising, $2.9K consulting</t>
  </si>
  <si>
    <t xml:space="preserve">LONG SHOT</t>
  </si>
  <si>
    <t xml:space="preserve">Clear Water Academy</t>
  </si>
  <si>
    <t xml:space="preserve">AB</t>
  </si>
  <si>
    <t xml:space="preserve">UNLIKELY - Rev $9M well above sweet spot. Already has multiple fundraising methods. $152K consulting</t>
  </si>
  <si>
    <t xml:space="preserve">Sacre-Coeur de Montreal</t>
  </si>
  <si>
    <t xml:space="preserve">UNLIKELY - Rev $6.1M well above sweet spot. Net liabilities. Some fundraising methods but already doing email/phone/corporate.</t>
  </si>
  <si>
    <t xml:space="preserve">Seminaire Sainte-Marie</t>
  </si>
  <si>
    <t xml:space="preserve">UNLIKELY - Rev $4.2M well above sweet spot. $591K consulting already. Low donations ($55K)</t>
  </si>
  <si>
    <t xml:space="preserve">Smithville CHS</t>
  </si>
  <si>
    <t xml:space="preserve">ABOVE SWEET SPOT. Rev $3.3M. Only $14K fundraising = minimal</t>
  </si>
  <si>
    <t xml:space="preserve">Ottawa CS</t>
  </si>
  <si>
    <t xml:space="preserve">ABOVE SWEET SPOT. Rev $2.7M. $26K fundraising, $21K consulting -- modest</t>
  </si>
  <si>
    <t xml:space="preserve">Quinte Region CHS</t>
  </si>
  <si>
    <t xml:space="preserve">ABOVE SWEET SPOT. Rev $2.6M. But only $22K fundraising, $20K consulting -- modest for size</t>
  </si>
  <si>
    <t xml:space="preserve">North Bay Theatre &amp; Arts Centre</t>
  </si>
  <si>
    <t xml:space="preserve">ABOVE SWEET SPOT - Rev $2.4M. Only $29K fundraising and $5K consulting. Significant net liabilities</t>
  </si>
  <si>
    <t xml:space="preserve">Capitol Theatre Heritage Foundation</t>
  </si>
  <si>
    <t xml:space="preserve">ABOVE SWEET SPOT - Rev $2.4M. Already $84K fundraising and $409K consulting. Has professional infrastructure.</t>
  </si>
  <si>
    <t xml:space="preserve">Markham Symphony Orchestra</t>
  </si>
  <si>
    <t xml:space="preserve">DORMANT - Zero revenue reported. $310 total expenses. May be inactive or restructuring.</t>
  </si>
  <si>
    <t xml:space="preserve">NOT A FIT</t>
  </si>
  <si>
    <t xml:space="preserve">St. Michael's College School</t>
  </si>
  <si>
    <t xml:space="preserve">TOO LARGE - Rev $29.8M, $156M assets. Sophisticated fundraising: $1M+ fundraising exp, 7 methods, $9.3M donations. Fully mature operation.</t>
  </si>
  <si>
    <t xml:space="preserve">College Bourget</t>
  </si>
  <si>
    <t xml:space="preserve">TOO LARGE - Rev $29.8M. $1.56M consulting. Zero fundraising but massive scale.</t>
  </si>
  <si>
    <t xml:space="preserve">Villanova College</t>
  </si>
  <si>
    <t xml:space="preserve">TOO LARGE. Rev $15.2M. Major institution</t>
  </si>
  <si>
    <t xml:space="preserve">Athol Murray College</t>
  </si>
  <si>
    <t xml:space="preserve">SK</t>
  </si>
  <si>
    <t xml:space="preserve">TOO LARGE - Rev $14.2M. Already has sophisticated fundraising program with 8 methods, $393K fundraising exp, $1.05M consulting. Established operation.</t>
  </si>
  <si>
    <t xml:space="preserve">King's Christian Collegiate</t>
  </si>
  <si>
    <t xml:space="preserve">TOO LARGE. Rev $13.8M. $37.4M assets</t>
  </si>
  <si>
    <t xml:space="preserve">Loyola High School</t>
  </si>
  <si>
    <t xml:space="preserve">TOO LARGE - Rev $13.6M. $1.2M consulting. $2M in donations but ZERO fundraising exp reported</t>
  </si>
  <si>
    <t xml:space="preserve">Ecole Marcelle-Mallet</t>
  </si>
  <si>
    <t xml:space="preserve">TOO LARGE - Rev $9.4M. $116K consulting. Zero fundraising despite $240K receipted donations.</t>
  </si>
  <si>
    <t xml:space="preserve">College St-Joseph de Hull</t>
  </si>
  <si>
    <t xml:space="preserve">TOO LARGE - Rev $9.1M. $961K consulting already. Zero fundraising exp despite $548K receipted donations.</t>
  </si>
  <si>
    <t xml:space="preserve">TDChristian HS (Woodbridge)</t>
  </si>
  <si>
    <t xml:space="preserve">TOO LARGE. Rev $7.6M. $363K consulting</t>
  </si>
  <si>
    <t xml:space="preserve">Hamilton District CHS</t>
  </si>
  <si>
    <t xml:space="preserve">TOO LARGE. Rev $6.9M. Major institution</t>
  </si>
  <si>
    <t xml:space="preserve">Woodland CHS (Breslau)</t>
  </si>
  <si>
    <t xml:space="preserve">TOO LARGE. Rev $5.8M. K-W region</t>
  </si>
  <si>
    <t xml:space="preserve">Niagara Christian Collegiate</t>
  </si>
  <si>
    <t xml:space="preserve">TOO LARGE. Rev $5.6M. But only $46K receipted donations = almost no donor program for its size</t>
  </si>
  <si>
    <t xml:space="preserve">North Toronto CS</t>
  </si>
  <si>
    <t xml:space="preserve">TOO LARGE. Rev $4.2M. But only $66K in receipted donations and ZERO fundraising spend = massive untapped potential</t>
  </si>
  <si>
    <t xml:space="preserve">Northmount School for Boys</t>
  </si>
  <si>
    <t xml:space="preserve">TOO LARGE for sweet spot. Rev $4M. Already has $2.6M in receipted donations, $116K fundraising spend</t>
  </si>
  <si>
    <t xml:space="preserve">Great Lakes CHS (Beamsville)</t>
  </si>
  <si>
    <t xml:space="preserve">TOO LARGE. Rev $3.8M. Already $142K fundraising + $207K consulting</t>
  </si>
  <si>
    <t xml:space="preserve">Etobicoke Philharmonic Society</t>
  </si>
  <si>
    <t xml:space="preserve">SMALL - Rev $142K below floor. $2.2K fundraising, $1.3K consulting. Mostly volunteer-run</t>
  </si>
  <si>
    <t xml:space="preserve">Ecole Sainte-Marie Mere de Dieu</t>
  </si>
  <si>
    <t xml:space="preserve">SMALL. Rev $82K, well below sweet spot floor. Zero assets on books</t>
  </si>
  <si>
    <t xml:space="preserve">Elora Community Theatre</t>
  </si>
  <si>
    <t xml:space="preserve">TOO SMALL - Rev $53K. Zero donations. Volunteer operation.</t>
  </si>
  <si>
    <t xml:space="preserve">Clearview Community Theatre</t>
  </si>
  <si>
    <t xml:space="preserve">TOO SMALL - Rev $51K. Community volunteer theatre. Zero paid staff.</t>
  </si>
  <si>
    <t xml:space="preserve">Lennox Community Theatre</t>
  </si>
  <si>
    <t xml:space="preserve">TOO SMALL - Rev $44K. Near Belleville/Kingston but too small for consulting.</t>
  </si>
  <si>
    <t xml:space="preserve">Durham Philharmonic Choir</t>
  </si>
  <si>
    <t xml:space="preserve">TOO SMALL - Rev $42K. All-volunteer choir. Zero consulting/fundraising exp.</t>
  </si>
  <si>
    <t xml:space="preserve">York Symphony Orchestra</t>
  </si>
  <si>
    <t xml:space="preserve">TOO SMALL - Rev $42K. $10K consulting but minimal operations.</t>
  </si>
  <si>
    <t xml:space="preserve">Mater Boni Consilii Academy</t>
  </si>
  <si>
    <t xml:space="preserve">VERY SMALL. Rev only $6.9K. Essentially a startup/micro-org</t>
  </si>
  <si>
    <t xml:space="preserve">TIER SUMMARY</t>
  </si>
  <si>
    <t xml:space="preserve">4 organizations</t>
  </si>
  <si>
    <t xml:space="preserve">16 organizations</t>
  </si>
  <si>
    <t xml:space="preserve">11 organizations</t>
  </si>
  <si>
    <t xml:space="preserve">9 organizations</t>
  </si>
  <si>
    <t xml:space="preserve">23 organizations</t>
  </si>
  <si>
    <t xml:space="preserve">UNASSESSED</t>
  </si>
  <si>
    <t xml:space="preserve">0 organizations</t>
  </si>
  <si>
    <t xml:space="preserve">Location</t>
  </si>
  <si>
    <t xml:space="preserve">Grades</t>
  </si>
  <si>
    <t xml:space="preserve">Website</t>
  </si>
  <si>
    <t xml:space="preserve">Phone</t>
  </si>
  <si>
    <t xml:space="preserve">Head/ED</t>
  </si>
  <si>
    <t xml:space="preserve">Board Chair</t>
  </si>
  <si>
    <t xml:space="preserve">Board Members / Key People</t>
  </si>
  <si>
    <t xml:space="preserve">CharityData URL</t>
  </si>
  <si>
    <t xml:space="preserve">Priority</t>
  </si>
  <si>
    <t xml:space="preserve">Notes</t>
  </si>
  <si>
    <t xml:space="preserve">Toronto, ON</t>
  </si>
  <si>
    <t xml:space="preserve">JK-8</t>
  </si>
  <si>
    <t xml:space="preserve">northmount.com</t>
  </si>
  <si>
    <t xml:space="preserve">See website</t>
  </si>
  <si>
    <t xml:space="preserve">Keith McLean (Chair)</t>
  </si>
  <si>
    <t xml:space="preserve">Sean Bayley, Robin Di Tosto, Michael Duffy, Gerard McCabe, Oscar Roque, Daniel Stronach (Treasurer), Vasily Zadorojny. CHARITYDATA: Rev $4.0M (2024), Donations $586K, Fundraising spend $47K, Consulting fees $18K, 18 FT staff. Active building campaign. Lamb Foundation major donor.</t>
  </si>
  <si>
    <t xml:space="preserve">charitydata.ca/charity/northmount-school-for-boys/137973350RR0001/</t>
  </si>
  <si>
    <t xml:space="preserve">HIGH</t>
  </si>
  <si>
    <t xml:space="preserve">Has fundraising infrastructure but consulting fees very low ($18K). Active capital campaign. Key question: do they need help scaling?</t>
  </si>
  <si>
    <t xml:space="preserve">Hawthorn School (Girls)</t>
  </si>
  <si>
    <t xml:space="preserve">Daycare-Gr12</t>
  </si>
  <si>
    <t xml:space="preserve">hawthornschool.com</t>
  </si>
  <si>
    <t xml:space="preserve">Only independent Catholic all-girl school in Toronto. Classical liberal arts. 100% university acceptance. Opus Dei tradition.</t>
  </si>
  <si>
    <t xml:space="preserve">Search charitydata.ca for Hawthorn School</t>
  </si>
  <si>
    <t xml:space="preserve">Well-established. Check CharityData for revenue/fundraising profile.</t>
  </si>
  <si>
    <t xml:space="preserve">King City, ON</t>
  </si>
  <si>
    <t xml:space="preserve">Gr 4-12</t>
  </si>
  <si>
    <t xml:space="preserve">villanovacollege.org</t>
  </si>
  <si>
    <t xml:space="preserve">Co-ed Catholic. Augustinian tradition. Boarding option. York Region.</t>
  </si>
  <si>
    <t xml:space="preserve">Search charitydata.ca for Villanova College</t>
  </si>
  <si>
    <t xml:space="preserve">Larger school with boarding. Check if they have development staff.</t>
  </si>
  <si>
    <t xml:space="preserve">Peterborough, ON</t>
  </si>
  <si>
    <t xml:space="preserve">K-12</t>
  </si>
  <si>
    <t xml:space="preserve">olwayside.ca</t>
  </si>
  <si>
    <t xml:space="preserve">CIOCS member. Peterborough Diocese listed private school. Classical Catholic ed. Founded 1995.</t>
  </si>
  <si>
    <t xml:space="preserve">Search charitydata.ca for Our Lady of the Wayside</t>
  </si>
  <si>
    <t xml:space="preserve">YOUR BACKYARD. Strong local connection potential. Classical ed niche.</t>
  </si>
  <si>
    <t xml:space="preserve">Oakville, ON</t>
  </si>
  <si>
    <t xml:space="preserve">K-8</t>
  </si>
  <si>
    <t xml:space="preserve">mbcahalton.com</t>
  </si>
  <si>
    <t xml:space="preserve">CIOCS member. Catholic formation + character development focus.</t>
  </si>
  <si>
    <t xml:space="preserve">Search charitydata.ca for Mater Boni Consilii</t>
  </si>
  <si>
    <t xml:space="preserve">Small school. Likely lacks fundraising capacity.</t>
  </si>
  <si>
    <t xml:space="preserve">St. Joseph Academy</t>
  </si>
  <si>
    <t xml:space="preserve">St. Catharines, ON</t>
  </si>
  <si>
    <t xml:space="preserve">stjosephacademy.ca</t>
  </si>
  <si>
    <t xml:space="preserve">CIOCS member. Niagara region.</t>
  </si>
  <si>
    <t xml:space="preserve">Search charitydata.ca for St. Joseph Academy St. Catharines</t>
  </si>
  <si>
    <t xml:space="preserve">Niagara region.</t>
  </si>
  <si>
    <t xml:space="preserve">Sacred Heart Academy</t>
  </si>
  <si>
    <t xml:space="preserve">Oshawa, ON</t>
  </si>
  <si>
    <t xml:space="preserve">sacredheartdurham.com</t>
  </si>
  <si>
    <t xml:space="preserve">CIOCS member. Durham region.</t>
  </si>
  <si>
    <t xml:space="preserve">Search charitydata.ca for Sacred Heart Academy Oshawa</t>
  </si>
  <si>
    <t xml:space="preserve">MEDIUM</t>
  </si>
  <si>
    <t xml:space="preserve">Strathroy, ON</t>
  </si>
  <si>
    <t xml:space="preserve">pillaracademy.ca</t>
  </si>
  <si>
    <t xml:space="preserve">CIOCS member. Newer school.</t>
  </si>
  <si>
    <t xml:space="preserve">Search charitydata.ca for Pillar Academy</t>
  </si>
  <si>
    <t xml:space="preserve">Smaller/newer.</t>
  </si>
  <si>
    <t xml:space="preserve">Limoges, ON</t>
  </si>
  <si>
    <t xml:space="preserve">academiastellamaris.ca</t>
  </si>
  <si>
    <t xml:space="preserve">343-883-6600</t>
  </si>
  <si>
    <t xml:space="preserve">CIOCS + Edvance member. Bilingual.</t>
  </si>
  <si>
    <t xml:space="preserve">Search charitydata.ca for Academia Stella Maris</t>
  </si>
  <si>
    <t xml:space="preserve">French/English bilingual. East of Ottawa.</t>
  </si>
  <si>
    <t xml:space="preserve">Ottawa, ON</t>
  </si>
  <si>
    <t xml:space="preserve">smmd.ca</t>
  </si>
  <si>
    <t xml:space="preserve">CIOCS member. French-language Catholic.</t>
  </si>
  <si>
    <t xml:space="preserve">Search charitydata.ca for Sainte-Marie Mere de Dieu</t>
  </si>
  <si>
    <t xml:space="preserve">LOW</t>
  </si>
  <si>
    <t xml:space="preserve">French-language.</t>
  </si>
  <si>
    <t xml:space="preserve">maryvaleacademy.ca</t>
  </si>
  <si>
    <t xml:space="preserve">CIOCS member. Ottawa.</t>
  </si>
  <si>
    <t xml:space="preserve">Search charitydata.ca for Maryvale Academy Ottawa</t>
  </si>
  <si>
    <t xml:space="preserve">Ottawa market.</t>
  </si>
  <si>
    <t xml:space="preserve">Ecole Notre-Dame du Mont Carmel</t>
  </si>
  <si>
    <t xml:space="preserve">K-Bac</t>
  </si>
  <si>
    <t xml:space="preserve">ndmc.ca</t>
  </si>
  <si>
    <t xml:space="preserve">CIOCS member. French baccalaureate program.</t>
  </si>
  <si>
    <t xml:space="preserve">Search charitydata.ca for Notre-Dame du Mont Carmel Ottawa</t>
  </si>
  <si>
    <t xml:space="preserve">Sacred Heart Private School</t>
  </si>
  <si>
    <t xml:space="preserve">Welland, ON</t>
  </si>
  <si>
    <t xml:space="preserve">Facebook only</t>
  </si>
  <si>
    <t xml:space="preserve">See FB page</t>
  </si>
  <si>
    <t xml:space="preserve">CIOCS member. Facebook-only web presence.</t>
  </si>
  <si>
    <t xml:space="preserve">Search charitydata.ca for Sacred Heart Private School Welland</t>
  </si>
  <si>
    <t xml:space="preserve">Very small. Facebook-only presence.</t>
  </si>
  <si>
    <t xml:space="preserve">CRA T3010 Financial Data (2023) -- Green = In Sweet Spot | Red = Outside | Sweet Spot: Revenue $200K-$2M, Fund Exp &lt;$50K, Consulting &lt;$25K</t>
  </si>
  <si>
    <t xml:space="preserve">BN</t>
  </si>
  <si>
    <t xml:space="preserve">FPE</t>
  </si>
  <si>
    <t xml:space="preserve">Total Revenue
(4700)</t>
  </si>
  <si>
    <t xml:space="preserve">Receipted Donations
(4500)</t>
  </si>
  <si>
    <t xml:space="preserve">Non-Receipted
(4510)</t>
  </si>
  <si>
    <t xml:space="preserve">Gov't Funding
(4540)</t>
  </si>
  <si>
    <t xml:space="preserve">Special Events
(4630)</t>
  </si>
  <si>
    <t xml:space="preserve">Total Assets
(4200)</t>
  </si>
  <si>
    <t xml:space="preserve">Total Liabilities
(4350)</t>
  </si>
  <si>
    <t xml:space="preserve">Fundraising Exp
(5020)</t>
  </si>
  <si>
    <t xml:space="preserve">Consulting Fees
(4860)</t>
  </si>
  <si>
    <t xml:space="preserve">Total Expenditures
(4950)</t>
  </si>
  <si>
    <t xml:space="preserve">Don % of Rev</t>
  </si>
  <si>
    <t xml:space="preserve">Fund Exp %</t>
  </si>
  <si>
    <t xml:space="preserve">Key Board Members</t>
  </si>
  <si>
    <t xml:space="preserve">Sweet Spot Assessment</t>
  </si>
  <si>
    <t xml:space="preserve">137973350RR0001</t>
  </si>
  <si>
    <t xml:space="preserve">2023-08-31</t>
  </si>
  <si>
    <t xml:space="preserve">Keith McLean</t>
  </si>
  <si>
    <t xml:space="preserve">Daniel Stronach (Treas), Sean Bayley, Michael Duffy, Gerard McCabe, Scott Lowry, Quentin Schesnuik, Vasily Zadoronyi, Robin Di Tosto</t>
  </si>
  <si>
    <t xml:space="preserve">TOO LARGE for sweet spot. Rev $4M. Already has $2.6M in receipted donations, $116K fundraising spend. Active capital campaign. Lamb Foundation major donor ($1.17M). BUT consulting only $13K - might need strategic help.</t>
  </si>
  <si>
    <t xml:space="preserve">138978002RR0001</t>
  </si>
  <si>
    <t xml:space="preserve">2023-06-30</t>
  </si>
  <si>
    <t xml:space="preserve">Maria Casanova Gurrera (Past Chair)</t>
  </si>
  <si>
    <t xml:space="preserve">Kelechi Enyinna (Treas), Joanne Best (Past Chair), Mauricio Saishio (Past Treas), Marie Josine Dee, Chris Nivet, Sandra Pietrobon, Peter McRae, Angela Deo, Alex Shipilov, Robert McGrath, Louise Rebello, Teresa Tomory, Ines Tillard</t>
  </si>
  <si>
    <t xml:space="preserve">EXCELLENT PROSPECT. Rev $2.9M (above sweet spot ceiling but ZERO fundraising spend). Only $16K consulting. $243K donations but zero infrastructure. Opus Dei tradition. Large board (15). Huge untapped potential for planned giving and major gifts.</t>
  </si>
  <si>
    <t xml:space="preserve">869147785RR0001</t>
  </si>
  <si>
    <t xml:space="preserve">Elya Ornelas</t>
  </si>
  <si>
    <t xml:space="preserve">Nick Creatura (VC), Gennaro Disanto (Treas), Jessica Spina (Sec), Connie Haces, Pierluigi Fiorino, Laura Casullo, Pamilla Pandoo, Michael D'Angelo, Michael Tedesco, Kathy Varlese</t>
  </si>
  <si>
    <t xml:space="preserve">TOO LARGE. Rev $15.2M. Major institution. Already has $4.1M donations and $113K fundraising spend. High debt ($22.6M liabilities). Likely has professional development staff.</t>
  </si>
  <si>
    <t xml:space="preserve">894588953RR0001</t>
  </si>
  <si>
    <t xml:space="preserve">Frank Callaghan</t>
  </si>
  <si>
    <t xml:space="preserve">Raphael Dunne (VC), Joseph Devereaux, Maureen Brand, Teresa Mulligan</t>
  </si>
  <si>
    <t xml:space="preserve">STRONG PROSPECT. YOUR BACKYARD (Peterborough). Rev $603K in sweet spot. Only $4.4K fundraising, $4.2K consulting. $315K non-receipted donations vs only $38K receipted = huge tax receipt conversion opportunity. Small board (5). Classical Catholic. Perfect client.</t>
  </si>
  <si>
    <t xml:space="preserve">841345838RR0001</t>
  </si>
  <si>
    <t xml:space="preserve">Fatima Borges</t>
  </si>
  <si>
    <t xml:space="preserve">Angela Lecanda (Treas), James Powers, Ante Skoko</t>
  </si>
  <si>
    <t xml:space="preserve">VERY SMALL. Rev only $6.9K. Essentially a startup/micro-org. $17.5K total assets. Tiny board (4). May not have capacity to engage consulting. Low priority unless rapid growth trajectory.</t>
  </si>
  <si>
    <t xml:space="preserve">845957778RR0001</t>
  </si>
  <si>
    <t xml:space="preserve">2023-12-31</t>
  </si>
  <si>
    <t xml:space="preserve">Patrick Wilson &amp; John-Paul Minten (Co-Presidents)</t>
  </si>
  <si>
    <t xml:space="preserve">Ashly Buis (Treas), Joe Bianchi, Peter Braet, Scott Sinasac, Laura Welch, Gregory Tobin, Ashley Hartman, Peter Norris</t>
  </si>
  <si>
    <t xml:space="preserve">GOOD PROSPECT. Rev $499K in sweet spot. ZERO fundraising spend, $7K consulting. $185K receipted donations = has donor base. But liabilities &gt; assets ($688K vs $681K). 10-person board. Strathroy area.</t>
  </si>
  <si>
    <t xml:space="preserve">763943685RR0001</t>
  </si>
  <si>
    <t xml:space="preserve">Jonathan Blake &amp; James Prior (Chairs)</t>
  </si>
  <si>
    <t xml:space="preserve">John Montojo (Sec-Treas), Shannon McSheffrey (Sec), Robert Masternack (Treas), Kenton Biffert (Chair)</t>
  </si>
  <si>
    <t xml:space="preserve">GOOD PROSPECT. Rev $278K in sweet spot. Minimal fundraising ($2.1K), minimal consulting ($700). Only $43K receipted donations = room to grow. Bilingual school near Ottawa. Small but growing.</t>
  </si>
  <si>
    <t xml:space="preserve">713652352RR0001</t>
  </si>
  <si>
    <t xml:space="preserve">See CRA filing</t>
  </si>
  <si>
    <t xml:space="preserve">See CRA filing (no key roles in data)</t>
  </si>
  <si>
    <t xml:space="preserve">SMALL. Rev $82K, well below sweet spot floor. Zero assets on books. French-language. Low priority.</t>
  </si>
  <si>
    <t xml:space="preserve">861025294RR0001</t>
  </si>
  <si>
    <t xml:space="preserve">Timothy Lau</t>
  </si>
  <si>
    <t xml:space="preserve">Nik Zylstra (Sec), Renze Nauta (Treas)</t>
  </si>
  <si>
    <t xml:space="preserve">GOOD PROSPECT. Rev $433K in sweet spot. $29K fundraising spend, $24K consulting -- has some infrastructure but modest. $98K receipted donations. Ottawa market. Expenditures exceed revenue ($571K vs $433K) = financial stress. Could use help.</t>
  </si>
  <si>
    <t xml:space="preserve">119091809RR0001</t>
  </si>
  <si>
    <t xml:space="preserve">2023-07-31</t>
  </si>
  <si>
    <t xml:space="preserve">John Reesor &amp; Andrea Fennessy (Chairpersons)</t>
  </si>
  <si>
    <t xml:space="preserve">Jay Boshart (Treas), Steve Gibbs (VC), Neisha MacDonald (Sec), Allison MacGregor, Jeremy Van Berkel, Dan Biro</t>
  </si>
  <si>
    <t xml:space="preserve">TOP PRIORITY. IN PETERBOROUGH. Rev $1.26M in sweet spot. Only $4.7K fundraising, $12K consulting. $568K receipted donations = strong donor base with no systematic fundraising. $1.2M assets, healthy. 8-person board. IMMEDIATE outreach target.</t>
  </si>
  <si>
    <t xml:space="preserve">107785248RR0001</t>
  </si>
  <si>
    <t xml:space="preserve">Myriam Innocent</t>
  </si>
  <si>
    <t xml:space="preserve">Dave Pronk (Treas), Leona Dejong (Sec), Megan Heideman, Jordan Hoogendam, David Wieland</t>
  </si>
  <si>
    <t xml:space="preserve">GOOD PROSPECT. Rev $897K in sweet spot. $18K fundraising, $8K consulting -- minimal infrastructure. $354K receipted donations = has donor base. Solid financials ($1.2M assets). 30 min from Peterborough.</t>
  </si>
  <si>
    <t xml:space="preserve">132530239RR0001</t>
  </si>
  <si>
    <t xml:space="preserve">MODERATE. Rev $1.1M in sweet spot but $50K fundraising spend (right at threshold). Only $2.6K consulting. $316K donations. Kawartha Lakes, 45 min from Ptbo.</t>
  </si>
  <si>
    <t xml:space="preserve">106782972RR0001</t>
  </si>
  <si>
    <t xml:space="preserve">INTERESTING. Rev $1.7M but receipted donations $3.1M EXCEED revenue (capital campaign?). Only $4.7K fundraising spend. Strong community support. 1 hr from Ptbo. Big balance sheet ($5.7M assets, $4.4M liab).</t>
  </si>
  <si>
    <t xml:space="preserve">119108033RR0001</t>
  </si>
  <si>
    <t xml:space="preserve">ABOVE SWEET SPOT. Rev $2.6M. But only $22K fundraising, $20K consulting -- modest for size. $1.25M donations. Belleville.</t>
  </si>
  <si>
    <t xml:space="preserve">119268837RR0001</t>
  </si>
  <si>
    <t xml:space="preserve">AT CEILING. Rev $2.1M just above sweet spot. $30K fundraising, $15K consulting -- moderate. $614K donations. Gov funding $91K. 1 hr from Ptbo.</t>
  </si>
  <si>
    <t xml:space="preserve">119156347RR0001</t>
  </si>
  <si>
    <t xml:space="preserve">GOOD PROSPECT. Rev $377K in sweet spot. $22K fundraising, $6K consulting. $114K donations. Strong balance sheet ($518K assets, only $14K liab). PEC area.</t>
  </si>
  <si>
    <t xml:space="preserve">132700816RR0001</t>
  </si>
  <si>
    <t xml:space="preserve">STRONG PROSPECT. Rev $996K in sweet spot. Only $13K fundraising, $15K consulting. $510K receipted donations (51% of rev) = strong donor culture. Clean balance sheet. 1 hr north of Ptbo.</t>
  </si>
  <si>
    <t xml:space="preserve">119049898RR0001</t>
  </si>
  <si>
    <t xml:space="preserve">GOOD PROSPECT. Rev $1.4M in sweet spot. $26K fundraising, $8K consulting. $725K donations (52% of rev). Muskoka region.</t>
  </si>
  <si>
    <t xml:space="preserve">118951474RR0001</t>
  </si>
  <si>
    <t xml:space="preserve">Marty Speelman</t>
  </si>
  <si>
    <t xml:space="preserve">Rob Vanderkruk (VC), Chris French (Treas), Danielle VandenAkker (Sec)</t>
  </si>
  <si>
    <t xml:space="preserve">TOO LARGE. Rev $6.9M. Major institution. But only $31K fundraising for that size = potential.</t>
  </si>
  <si>
    <t xml:space="preserve">118826221RR0001</t>
  </si>
  <si>
    <t xml:space="preserve">Andrea Bootsma</t>
  </si>
  <si>
    <t xml:space="preserve">Jim Kleefman (Treas), Gina Price (Sec)</t>
  </si>
  <si>
    <t xml:space="preserve">TOO LARGE. Rev $5.8M. K-W region. $1.9M donations but only $53K fundraising spend.</t>
  </si>
  <si>
    <t xml:space="preserve">107270944RR0001</t>
  </si>
  <si>
    <t xml:space="preserve">GOOD PROSPECT. Rev $1.6M in sweet spot. Only $14K fundraising, $44K consulting. $467K donations. Durham region.</t>
  </si>
  <si>
    <t xml:space="preserve">130167281RR0001</t>
  </si>
  <si>
    <t xml:space="preserve">Jordan Kuyvenhoven</t>
  </si>
  <si>
    <t xml:space="preserve">Nancy Fernhout (Treas), Cameron Loopstra (VC), Tim Sinke (Sec)</t>
  </si>
  <si>
    <t xml:space="preserve">TOO LARGE. Rev $7.6M. $363K consulting. Major institution.</t>
  </si>
  <si>
    <t xml:space="preserve">866120629RR0001</t>
  </si>
  <si>
    <t xml:space="preserve">Juliette Lamb</t>
  </si>
  <si>
    <t xml:space="preserve">Gordon Shin (VC), John Wilkening (Treas), David Klassen (Sec), Danielle Kamerman (Sec)</t>
  </si>
  <si>
    <t xml:space="preserve">TOO LARGE. Rev $13.8M. $37.4M assets. Major institution.</t>
  </si>
  <si>
    <t xml:space="preserve">130672991RR0001</t>
  </si>
  <si>
    <t xml:space="preserve">John Plews</t>
  </si>
  <si>
    <t xml:space="preserve">Anil Balaram (VC), Russell Welter (Treas), Grzegorz Kopczyk (Sec)</t>
  </si>
  <si>
    <t xml:space="preserve">AT CEILING. Rev $2.5M just above sweet spot. But only $7.6K fundraising, $2.6K consulting = zero infrastructure. $918K donations. Ottawa.</t>
  </si>
  <si>
    <t xml:space="preserve">107785115RR0001</t>
  </si>
  <si>
    <t xml:space="preserve">Barbara Dempsey (President)</t>
  </si>
  <si>
    <t xml:space="preserve">Benita Pak (Sec)</t>
  </si>
  <si>
    <t xml:space="preserve">TOO LARGE. Rev $4.2M. But only $66K in receipted donations and ZERO fundraising spend = massive untapped potential. $12.2M assets. Toronto.</t>
  </si>
  <si>
    <t xml:space="preserve">102183829RR0001</t>
  </si>
  <si>
    <t xml:space="preserve">Noel Walker</t>
  </si>
  <si>
    <t xml:space="preserve">Jonathon Straker (VC), Bob Ammerman (Treas), Linda Smith (Sec)</t>
  </si>
  <si>
    <t xml:space="preserve">TOO LARGE. Rev $3.8M. Already $142K fundraising + $207K consulting. Niagara.</t>
  </si>
  <si>
    <t xml:space="preserve">119057164RR0001</t>
  </si>
  <si>
    <t xml:space="preserve">Donald McNiven</t>
  </si>
  <si>
    <t xml:space="preserve">TOO LARGE. Rev $5.6M. But only $46K receipted donations = almost no donor program for its size. Fort Erie.</t>
  </si>
  <si>
    <t xml:space="preserve">107986143RR0001</t>
  </si>
  <si>
    <t xml:space="preserve">Dwight te Brake</t>
  </si>
  <si>
    <t xml:space="preserve">Pete Wierenga (VC), Daryl Haanstra (Treas), Amy Gooderham (Sec)</t>
  </si>
  <si>
    <t xml:space="preserve">ABOVE SWEET SPOT. Rev $3.3M. Only $14K fundraising = minimal. Niagara/Hamilton.</t>
  </si>
  <si>
    <t xml:space="preserve">119071454RR0001</t>
  </si>
  <si>
    <t xml:space="preserve">ABOVE SWEET SPOT. Rev $2.7M. $26K fundraising, $21K consulting -- modest. $1M donations. Ottawa.</t>
  </si>
  <si>
    <t xml:space="preserve">124183740RR0001</t>
  </si>
  <si>
    <t xml:space="preserve">STRONG PROSPECT. Rev $1.4M in sweet spot. Only $3.8K fundraising, $10K consulting. $338K donations. Strong balance sheet ($3M assets). Kingston.</t>
  </si>
  <si>
    <t xml:space="preserve">Rhema Christian School</t>
  </si>
  <si>
    <t xml:space="preserve">Elem</t>
  </si>
  <si>
    <t xml:space="preserve">See Edvance</t>
  </si>
  <si>
    <t xml:space="preserve">705-743-1400</t>
  </si>
  <si>
    <t xml:space="preserve">29 County Rd. 4, Peterborough, ON K9L 1B8. EDVANCE AFFILIATE. IN PETERBOROUGH.</t>
  </si>
  <si>
    <t xml:space="preserve">Search charitydata.ca for Rhema Christian School Peterborough</t>
  </si>
  <si>
    <t xml:space="preserve">LITERALLY IN PETERBOROUGH. Top outreach priority.</t>
  </si>
  <si>
    <t xml:space="preserve">Northumberland Christian School</t>
  </si>
  <si>
    <t xml:space="preserve">Cobourg, ON</t>
  </si>
  <si>
    <t xml:space="preserve">905-372-8766</t>
  </si>
  <si>
    <t xml:space="preserve">8861 Danforth Rd East, Cobourg, ON K9A 4J8.</t>
  </si>
  <si>
    <t xml:space="preserve">charitydata.ca/charity/northumberland-christian-school-society-inc/107785248RR0001/</t>
  </si>
  <si>
    <t xml:space="preserve">30 min from Peterborough.</t>
  </si>
  <si>
    <t xml:space="preserve">Heritage Christian School</t>
  </si>
  <si>
    <t xml:space="preserve">Lindsay, ON</t>
  </si>
  <si>
    <t xml:space="preserve">705-324-8363</t>
  </si>
  <si>
    <t xml:space="preserve">159 Colborne St. W., Lindsay, ON K9V 5Z8.</t>
  </si>
  <si>
    <t xml:space="preserve">Search charitydata.ca for Heritage Christian School Lindsay</t>
  </si>
  <si>
    <t xml:space="preserve">Kawartha Lakes. 45 min from Peterborough.</t>
  </si>
  <si>
    <t xml:space="preserve">Belleville Christian School</t>
  </si>
  <si>
    <t xml:space="preserve">Belleville, ON</t>
  </si>
  <si>
    <t xml:space="preserve">613-962-7849</t>
  </si>
  <si>
    <t xml:space="preserve">138B Wallbridge Loyalist Rd, Belleville, ON K8N 4Z2.</t>
  </si>
  <si>
    <t xml:space="preserve">Search charitydata.ca for Belleville Christian School</t>
  </si>
  <si>
    <t xml:space="preserve">Quinte region. 1 hr from Peterborough.</t>
  </si>
  <si>
    <t xml:space="preserve">Quinte Christian High School</t>
  </si>
  <si>
    <t xml:space="preserve">613-968-7870</t>
  </si>
  <si>
    <t xml:space="preserve">138 Wallbridge-Loyalist Road, Belleville, ON K8N 4Z2. Shares campus with Belleville Christian.</t>
  </si>
  <si>
    <t xml:space="preserve">Search charitydata.ca for Quinte Christian High School</t>
  </si>
  <si>
    <t xml:space="preserve">Pair with Belleville Christian for regional outreach.</t>
  </si>
  <si>
    <t xml:space="preserve">Trenton Christian School</t>
  </si>
  <si>
    <t xml:space="preserve">Trenton, ON</t>
  </si>
  <si>
    <t xml:space="preserve">613-392-3600</t>
  </si>
  <si>
    <t xml:space="preserve">340 Second Dug Hill Rd, RR#4, Trenton, ON K8V 5P7.</t>
  </si>
  <si>
    <t xml:space="preserve">Search charitydata.ca for Trenton Christian School</t>
  </si>
  <si>
    <t xml:space="preserve">Quinte West. ~1 hr from Peterborough.</t>
  </si>
  <si>
    <t xml:space="preserve">Sonrise Christian Academy</t>
  </si>
  <si>
    <t xml:space="preserve">Picton, ON</t>
  </si>
  <si>
    <t xml:space="preserve">613-476-7883</t>
  </si>
  <si>
    <t xml:space="preserve">58 Johnson St., Picton, ON K0K 2T0. Prince Edward County.</t>
  </si>
  <si>
    <t xml:space="preserve">Search charitydata.ca for Sonrise Christian Academy Picton</t>
  </si>
  <si>
    <t xml:space="preserve">PEC. ~1.5 hr from Peterborough.</t>
  </si>
  <si>
    <t xml:space="preserve">Orillia Christian School</t>
  </si>
  <si>
    <t xml:space="preserve">Orillia, ON</t>
  </si>
  <si>
    <t xml:space="preserve">705-326-0532</t>
  </si>
  <si>
    <t xml:space="preserve">Box 862, 505 Gill Street, Orillia, ON L3V 6K8.</t>
  </si>
  <si>
    <t xml:space="preserve">Search charitydata.ca for Orillia Christian School</t>
  </si>
  <si>
    <t xml:space="preserve">~1 hr north of Peterborough.</t>
  </si>
  <si>
    <t xml:space="preserve">Muskoka Christian School</t>
  </si>
  <si>
    <t xml:space="preserve">Port Sydney, ON</t>
  </si>
  <si>
    <t xml:space="preserve">705-385-2847</t>
  </si>
  <si>
    <t xml:space="preserve">370 South Mary Lake Rd, Port Sydney, ON P0B 1L0.</t>
  </si>
  <si>
    <t xml:space="preserve">Search charitydata.ca for Muskoka Christian School</t>
  </si>
  <si>
    <t xml:space="preserve">Muskoka region.</t>
  </si>
  <si>
    <t xml:space="preserve">Hamilton District Christian High</t>
  </si>
  <si>
    <t xml:space="preserve">Ancaster, ON</t>
  </si>
  <si>
    <t xml:space="preserve">Sec</t>
  </si>
  <si>
    <t xml:space="preserve">hdch.org</t>
  </si>
  <si>
    <t xml:space="preserve">905-648-6655</t>
  </si>
  <si>
    <t xml:space="preserve">92 Glancaster Rd., Ancaster, ON L9G 3K9.</t>
  </si>
  <si>
    <t xml:space="preserve">Search charitydata.ca for Hamilton District Christian High</t>
  </si>
  <si>
    <t xml:space="preserve">Established regional high school.</t>
  </si>
  <si>
    <t xml:space="preserve">Woodland Christian High School</t>
  </si>
  <si>
    <t xml:space="preserve">Breslau, ON</t>
  </si>
  <si>
    <t xml:space="preserve">woodland.on.ca</t>
  </si>
  <si>
    <t xml:space="preserve">519-648-2114</t>
  </si>
  <si>
    <t xml:space="preserve">1058 Spitzig Rd., Breslau, ON N0B 1M0. Waterloo Region.</t>
  </si>
  <si>
    <t xml:space="preserve">Search charitydata.ca for Woodland Christian High School</t>
  </si>
  <si>
    <t xml:space="preserve">Major Christian HS in K-W region.</t>
  </si>
  <si>
    <t xml:space="preserve">Durham Christian High School</t>
  </si>
  <si>
    <t xml:space="preserve">Bowmanville, ON</t>
  </si>
  <si>
    <t xml:space="preserve">dchs.ca</t>
  </si>
  <si>
    <t xml:space="preserve">905-623-5940</t>
  </si>
  <si>
    <t xml:space="preserve">340 West Scugog Lane, Bowmanville, ON L1C 7C1.</t>
  </si>
  <si>
    <t xml:space="preserve">Search charitydata.ca for Durham Christian High School</t>
  </si>
  <si>
    <t xml:space="preserve">Durham region.</t>
  </si>
  <si>
    <t xml:space="preserve">TDChristian High School</t>
  </si>
  <si>
    <t xml:space="preserve">Woodbridge, ON</t>
  </si>
  <si>
    <t xml:space="preserve">tdchristian.ca</t>
  </si>
  <si>
    <t xml:space="preserve">905-851-1772</t>
  </si>
  <si>
    <t xml:space="preserve">377 Woodbridge Ave., Woodbridge, ON L4L 2V7.</t>
  </si>
  <si>
    <t xml:space="preserve">Search charitydata.ca for TDChristian High School</t>
  </si>
  <si>
    <t xml:space="preserve">GTA. Established.</t>
  </si>
  <si>
    <t xml:space="preserve">kingschristian.ca</t>
  </si>
  <si>
    <t xml:space="preserve">905-257-5464</t>
  </si>
  <si>
    <t xml:space="preserve">528 Burnhamthorpe Rd W., Oakville, ON L6M 4K6.</t>
  </si>
  <si>
    <t xml:space="preserve">Search charitydata.ca for Kings Christian Collegiate</t>
  </si>
  <si>
    <t xml:space="preserve">Oakville area.</t>
  </si>
  <si>
    <t xml:space="preserve">Redeemer Christian High School</t>
  </si>
  <si>
    <t xml:space="preserve">rchs.on.ca</t>
  </si>
  <si>
    <t xml:space="preserve">613-723-9262</t>
  </si>
  <si>
    <t xml:space="preserve">82 Colonnade Rd. N., Ottawa, ON K2E 7L2.</t>
  </si>
  <si>
    <t xml:space="preserve">Search charitydata.ca for Redeemer Christian High School Ottawa</t>
  </si>
  <si>
    <t xml:space="preserve">North Toronto Christian School</t>
  </si>
  <si>
    <t xml:space="preserve">North York, ON</t>
  </si>
  <si>
    <t xml:space="preserve">ntcs.on.ca</t>
  </si>
  <si>
    <t xml:space="preserve">416-491-7667</t>
  </si>
  <si>
    <t xml:space="preserve">255 Yorkland Blvd, North York, ON M2J 1S3.</t>
  </si>
  <si>
    <t xml:space="preserve">Search charitydata.ca for North Toronto Christian School</t>
  </si>
  <si>
    <t xml:space="preserve">Toronto market.</t>
  </si>
  <si>
    <t xml:space="preserve">Great Lakes Christian High School</t>
  </si>
  <si>
    <t xml:space="preserve">Beamsville, ON</t>
  </si>
  <si>
    <t xml:space="preserve">glchs.on.ca</t>
  </si>
  <si>
    <t xml:space="preserve">905-563-5374</t>
  </si>
  <si>
    <t xml:space="preserve">4875 King St, Beamsville, ON L3J 2J1.</t>
  </si>
  <si>
    <t xml:space="preserve">Search charitydata.ca for Great Lakes Christian High School</t>
  </si>
  <si>
    <t xml:space="preserve">Fort Erie, ON</t>
  </si>
  <si>
    <t xml:space="preserve">7-12</t>
  </si>
  <si>
    <t xml:space="preserve">niagaracc.com</t>
  </si>
  <si>
    <t xml:space="preserve">905-871-6980</t>
  </si>
  <si>
    <t xml:space="preserve">2619 Niagara Pkwy, Fort Erie, ON L2A 5M4.</t>
  </si>
  <si>
    <t xml:space="preserve">Search charitydata.ca for Niagara Christian Collegiate</t>
  </si>
  <si>
    <t xml:space="preserve">Smithville Christian High School</t>
  </si>
  <si>
    <t xml:space="preserve">Smithville, ON</t>
  </si>
  <si>
    <t xml:space="preserve">smithvillechristian.ca</t>
  </si>
  <si>
    <t xml:space="preserve">905-957-3255</t>
  </si>
  <si>
    <t xml:space="preserve">6488 Townline Road, P.O. Box 40, Smithville, ON L0R 2A0.</t>
  </si>
  <si>
    <t xml:space="preserve">Search charitydata.ca for Smithville Christian High School</t>
  </si>
  <si>
    <t xml:space="preserve">Niagara/Hamilton area.</t>
  </si>
  <si>
    <t xml:space="preserve">Ottawa Christian School</t>
  </si>
  <si>
    <t xml:space="preserve">ottawachristianschool.ca</t>
  </si>
  <si>
    <t xml:space="preserve">613-825-3000</t>
  </si>
  <si>
    <t xml:space="preserve">255 Tartan Drive, Ottawa, ON K2J 3T1.</t>
  </si>
  <si>
    <t xml:space="preserve">Search charitydata.ca for Ottawa Christian School</t>
  </si>
  <si>
    <t xml:space="preserve">Mississauga Christian Academy</t>
  </si>
  <si>
    <t xml:space="preserve">Mississauga, ON</t>
  </si>
  <si>
    <t xml:space="preserve">905-826-4114</t>
  </si>
  <si>
    <t xml:space="preserve">2720 Gananoque Drive, Mississauga, ON L5N 2R2.</t>
  </si>
  <si>
    <t xml:space="preserve">Search charitydata.ca for Mississauga Christian Academy</t>
  </si>
  <si>
    <t xml:space="preserve">GTA West.</t>
  </si>
  <si>
    <t xml:space="preserve">Kingston Christian School</t>
  </si>
  <si>
    <t xml:space="preserve">Kingston, ON</t>
  </si>
  <si>
    <t xml:space="preserve">613-384-9572</t>
  </si>
  <si>
    <t xml:space="preserve">1212 Woodbine Rd., Kingston, ON K7L 4V2.</t>
  </si>
  <si>
    <t xml:space="preserve">Search charitydata.ca for Kingston Christian School</t>
  </si>
  <si>
    <t xml:space="preserve">Kingston area.</t>
  </si>
  <si>
    <t xml:space="preserve">NOTE: Full Edvance list has ~95 schools across Ontario + PEI. See edvance.ca/schools for complete directory.</t>
  </si>
  <si>
    <t xml:space="preserve">Additional schools not listed above include: Timothy Christian (Barrie, Owen Sound, Etobicoke, Hamilton, Williamsburg), Burlington Christian Academy, Guelph Community Christian, London Christian (Academy + Elementary + High), Cambridge Christian, Brampton Christian, Chatham Christian, Sarnia Christian, Brantford Christian, and many more small elementary schools.</t>
  </si>
  <si>
    <t xml:space="preserve">Type</t>
  </si>
  <si>
    <t xml:space="preserve">Contact</t>
  </si>
  <si>
    <t xml:space="preserve">ED/Manager</t>
  </si>
  <si>
    <t xml:space="preserve">Artistic Director</t>
  </si>
  <si>
    <t xml:space="preserve">Board / Key Info</t>
  </si>
  <si>
    <t xml:space="preserve">Sweet Spot Notes</t>
  </si>
  <si>
    <t xml:space="preserve">Symphonic Chorus (~100 voices)</t>
  </si>
  <si>
    <t xml:space="preserve">chorusniagara.org</t>
  </si>
  <si>
    <t xml:space="preserve">905-932-6642 | chorusniagara100@gmail.com</t>
  </si>
  <si>
    <t xml:space="preserve">Maija Saari (General Director)</t>
  </si>
  <si>
    <t xml:space="preserve">Kathleen Allan</t>
  </si>
  <si>
    <t xml:space="preserve">Judy Willems (Chair)</t>
  </si>
  <si>
    <t xml:space="preserve">Jeff Baker (VC), John Senn (Treasurer), Hugh Gayler (Secretary), Sue Biggs (Development), Julia D'Amico (Comms), Daryl Novak (Governance). Charity #775203672RR0001. Est. 1963. Includes Children's Choir. Resident at FirstOntario PAC.</t>
  </si>
  <si>
    <t xml:space="preserve">Search charitydata.ca for Chorus Niagara 775203672RR0001</t>
  </si>
  <si>
    <t xml:space="preserve">STRONG PROSPECT. Similar to Peterborough Singers. ~100 voices. Volunteer board with named Development director. General Director but likely no dedicated fundraiser. Check CharityData for revenue.</t>
  </si>
  <si>
    <t xml:space="preserve">Multi-choir org (6 choirs, 250+ singers)</t>
  </si>
  <si>
    <t xml:space="preserve">cantabilechoirs.ca</t>
  </si>
  <si>
    <t xml:space="preserve">Dr. Mark Sirett (Founding AD), Geoffrey Sirett</t>
  </si>
  <si>
    <t xml:space="preserve">Six choirs from age 6 to adult. Award-winning. Strong community presence. Multiple seasons of programming.</t>
  </si>
  <si>
    <t xml:space="preserve">Search charitydata.ca for Cantabile Choirs Kingston</t>
  </si>
  <si>
    <t xml:space="preserve">STRONG PROSPECT. Multi-choir model. Community scale. Kingston market. Similar profile to what you could transform.</t>
  </si>
  <si>
    <t xml:space="preserve">Community Choir</t>
  </si>
  <si>
    <t xml:space="preserve">Kitchener-Waterloo, ON</t>
  </si>
  <si>
    <t xml:space="preserve">grandphilchoir.com</t>
  </si>
  <si>
    <t xml:space="preserve">Mark Vuorinen</t>
  </si>
  <si>
    <t xml:space="preserve">Waterloo Region's premier community choir. Same AD as Elora Singers. Collaborates with K-W Symphony musicians.</t>
  </si>
  <si>
    <t xml:space="preserve">Search charitydata.ca for Grand Philharmonic Choir</t>
  </si>
  <si>
    <t xml:space="preserve">STRONG PROSPECT. K-W region. Connected to Elora network. Community scale. Check if they have fundraising staff.</t>
  </si>
  <si>
    <t xml:space="preserve">Community Orchestra</t>
  </si>
  <si>
    <t xml:space="preserve">Burlington, ON</t>
  </si>
  <si>
    <t xml:space="preserve">burlingtonsymphony.ca</t>
  </si>
  <si>
    <t xml:space="preserve">Board includes Melissa Shea (architect), Dylan (PhD, policy). Community orchestra with professional musicians. Halton region.</t>
  </si>
  <si>
    <t xml:space="preserve">Search charitydata.ca for Burlington Symphony Orchestra</t>
  </si>
  <si>
    <t xml:space="preserve">STRONG PROSPECT. Community orchestra. Strong board profile. Halton region. Likely volunteer fundraising.</t>
  </si>
  <si>
    <t xml:space="preserve">Professional Community Orchestra (~100 musicians)</t>
  </si>
  <si>
    <t xml:space="preserve">ottawasymphony.com</t>
  </si>
  <si>
    <t xml:space="preserve">Musician-led governance (post-pandemic)</t>
  </si>
  <si>
    <t xml:space="preserve">N/A (committee model)</t>
  </si>
  <si>
    <t xml:space="preserve">See Board of Directors page</t>
  </si>
  <si>
    <t xml:space="preserve">Founded 1965. Reorganized post-pandemic with Artistic Planning Committee. Community engagement focus. ~100 musicians.</t>
  </si>
  <si>
    <t xml:space="preserve">Search charitydata.ca for Ottawa Symphony Orchestra</t>
  </si>
  <si>
    <t xml:space="preserve">STRONG PROSPECT. Post-pandemic reorganization = may need fundraising help with new governance model. Large org but in transition.</t>
  </si>
  <si>
    <t xml:space="preserve">Scarborough/Toronto, ON</t>
  </si>
  <si>
    <t xml:space="preserve">spo.ca</t>
  </si>
  <si>
    <t xml:space="preserve">Ronald Royer (Music Director)</t>
  </si>
  <si>
    <t xml:space="preserve">Volunteer Board</t>
  </si>
  <si>
    <t xml:space="preserve">44th season. Mixed professional/amateur. Volunteer board. Very affordable concerts. New Generation Composers Workshop. Women's Choir.</t>
  </si>
  <si>
    <t xml:space="preserve">Search charitydata.ca for Scarborough Philharmonic Orchestra</t>
  </si>
  <si>
    <t xml:space="preserve">STRONG PROSPECT. Volunteer board. 44 years. Explicitly states they need donor support to survive. No development staff apparent.</t>
  </si>
  <si>
    <t xml:space="preserve">Regional Orchestra</t>
  </si>
  <si>
    <t xml:space="preserve">ontariophil.ca</t>
  </si>
  <si>
    <t xml:space="preserve">Marco Parisotto (Music Director)</t>
  </si>
  <si>
    <t xml:space="preserve">Durham Region professional orchestra. Post-pandemic recovery. Based in Oshawa.</t>
  </si>
  <si>
    <t xml:space="preserve">Search charitydata.ca for Ontario Philharmonic</t>
  </si>
  <si>
    <t xml:space="preserve">STRONG PROSPECT. Durham region. Post-pandemic recovery phase. Check CharityData for financial profile.</t>
  </si>
  <si>
    <t xml:space="preserve">Elora Singers / Elora Festival</t>
  </si>
  <si>
    <t xml:space="preserve">Professional Chamber Choir + Festival</t>
  </si>
  <si>
    <t xml:space="preserve">Elora, ON</t>
  </si>
  <si>
    <t xml:space="preserve">elorasingers.ca / elorafestival.ca</t>
  </si>
  <si>
    <t xml:space="preserve">519-846-0331 | info@elorafestival.com</t>
  </si>
  <si>
    <t xml:space="preserve">Christina Stelmacovich (Manager)</t>
  </si>
  <si>
    <t xml:space="preserve">Julie Wilson (Chair, Lawyer at Gowling WLG)</t>
  </si>
  <si>
    <t xml:space="preserve">Peter Barr (Past Chair, Retired Deloitte Partner), Justin Gorgi (Treasurer, CPA). Staff: Jess Henderson (Projects/Events), Evangeline Drost (Marketing/Box Office), Ben Taylor (IT). Grammy/JUNO nom. 12 NAXOS recordings. Blue Elephant does their marketing. Small team: AD + Manager + 3 staff/contractors.</t>
  </si>
  <si>
    <t xml:space="preserve">Search charitydata.ca for Elora Festival Singers</t>
  </si>
  <si>
    <t xml:space="preserve">Excellent org but already has professional management + outsourced marketing (Blue Elephant). May be too sophisticated for your entry point. But could need fundraising strategy.</t>
  </si>
  <si>
    <t xml:space="preserve">Toronto Mendelssohn Choir</t>
  </si>
  <si>
    <t xml:space="preserve">Major Symphonic Choir (160 voices)</t>
  </si>
  <si>
    <t xml:space="preserve">tmchoir.org</t>
  </si>
  <si>
    <t xml:space="preserve">Jean-Sebastien Vallee</t>
  </si>
  <si>
    <t xml:space="preserve">One of Canada's oldest (est. 1894). 160 voices + 24 professional core. Performs with TSO. Carnegie Hall history. 130+ years.</t>
  </si>
  <si>
    <t xml:space="preserve">Search charitydata.ca for Toronto Mendelssohn Choir</t>
  </si>
  <si>
    <t xml:space="preserve">TOO BIG. Almost certainly has professional development staff. Not your sweet spot.</t>
  </si>
  <si>
    <t xml:space="preserve">Orpheus Choir of Toronto</t>
  </si>
  <si>
    <t xml:space="preserve">Choral (specialized repertoire)</t>
  </si>
  <si>
    <t xml:space="preserve">orpheuschoirtoronto.com</t>
  </si>
  <si>
    <t xml:space="preserve">Thomas Burton</t>
  </si>
  <si>
    <t xml:space="preserve">60th anniversary. New/rarely heard choral music. Sidgwick Scholar program. Vocal Apprentice Program.</t>
  </si>
  <si>
    <t xml:space="preserve">Search charitydata.ca for Orpheus Choir Toronto</t>
  </si>
  <si>
    <t xml:space="preserve">Specialized niche. 60 years. Check CharityData to see if they're in the sweet spot financially.</t>
  </si>
  <si>
    <t xml:space="preserve">Talisker Players</t>
  </si>
  <si>
    <t xml:space="preserve">Chamber Ensemble</t>
  </si>
  <si>
    <t xml:space="preserve">taliskerplayers.ca</t>
  </si>
  <si>
    <t xml:space="preserve">Musicians in Residence at Massey College, U of T. Choral-accompanying ensemble. Registered charity. Works with dozens of Ontario choirs.</t>
  </si>
  <si>
    <t xml:space="preserve">Search charitydata.ca for Talisker Players</t>
  </si>
  <si>
    <t xml:space="preserve">Niche ensemble. May be too small for consulting engagement.</t>
  </si>
  <si>
    <t xml:space="preserve">Chorus Niagara Children's Choir</t>
  </si>
  <si>
    <t xml:space="preserve">Children's Choral</t>
  </si>
  <si>
    <t xml:space="preserve">chorusniagaracc.org</t>
  </si>
  <si>
    <t xml:space="preserve">Amanda (AD, 11th season)</t>
  </si>
  <si>
    <t xml:space="preserve">Four choirs ages 3-18. Gold MusicFest Canada 2018+2023. Carnegie Hall 2023. Connected to Chorus Niagara.</t>
  </si>
  <si>
    <t xml:space="preserve">Search charitydata.ca for Chorus Niagara Children</t>
  </si>
  <si>
    <t xml:space="preserve">Connected to Chorus Niagara. Could be part of a package deal.</t>
  </si>
  <si>
    <t xml:space="preserve">Kitchener-Waterloo Symphony</t>
  </si>
  <si>
    <t xml:space="preserve">Professional Orchestra (rebuilding)</t>
  </si>
  <si>
    <t xml:space="preserve">Kitchener, ON</t>
  </si>
  <si>
    <t xml:space="preserve">kwsymphony.com</t>
  </si>
  <si>
    <t xml:space="preserve">New board (elected June 2024)</t>
  </si>
  <si>
    <t xml:space="preserve">New board elected June 2024</t>
  </si>
  <si>
    <t xml:space="preserve">MAJOR STORY: Bankruptcy Sept 2023. New board June 2024. Bankruptcy annulled Oct 2024. Returned 2025-26 season. Rebuilding from scratch.</t>
  </si>
  <si>
    <t xml:space="preserve">Search charitydata.ca for Kitchener-Waterloo Symphony Orchestra</t>
  </si>
  <si>
    <t xml:space="preserve">Massive need but may not have budget. Rebuilding post-bankruptcy. Worth monitoring.</t>
  </si>
  <si>
    <t xml:space="preserve">CRA T3010 Financial Data (Open Canada 2023 Dataset) -- Green = In Sweet Spot | Red = Outside Sweet Spot | Sweet Spot: Revenue $200K-$2M, Fundraising Exp &lt;$50K, Consulting &lt;$25K</t>
  </si>
  <si>
    <t xml:space="preserve">Fiscal Year End</t>
  </si>
  <si>
    <t xml:space="preserve">Total Revenue
(Line 4700)</t>
  </si>
  <si>
    <t xml:space="preserve">Receipted Donations
(Line 4500)</t>
  </si>
  <si>
    <t xml:space="preserve">Non-Receipted Donations
(Line 4510)</t>
  </si>
  <si>
    <t xml:space="preserve">Gov't Funding
(Line 4540)</t>
  </si>
  <si>
    <t xml:space="preserve">Special Events Revenue
(Line 4630)</t>
  </si>
  <si>
    <t xml:space="preserve">Special Events Costs
(Line 4640)</t>
  </si>
  <si>
    <t xml:space="preserve">Total Assets
(Line 4200)</t>
  </si>
  <si>
    <t xml:space="preserve">Total Liabilities
(Line 4350)</t>
  </si>
  <si>
    <t xml:space="preserve">Fundraising Expenditure
(Line 5020)</t>
  </si>
  <si>
    <t xml:space="preserve">Professional/Consulting Fees
(Line 4860)</t>
  </si>
  <si>
    <t xml:space="preserve">Total Expenditures
(Line 4950)</t>
  </si>
  <si>
    <t xml:space="preserve">Charitable Programs
(Line 5000)</t>
  </si>
  <si>
    <t xml:space="preserve">Management/Admin
(Line 5010)</t>
  </si>
  <si>
    <t xml:space="preserve">Donations as % of Revenue</t>
  </si>
  <si>
    <t xml:space="preserve">Fundraising Exp as % of Revenue</t>
  </si>
  <si>
    <t xml:space="preserve">Consulting Fees as % of Revenue</t>
  </si>
  <si>
    <t xml:space="preserve">Fundraising Methods</t>
  </si>
  <si>
    <t xml:space="preserve">Board Members</t>
  </si>
  <si>
    <t xml:space="preserve">871437968RR0001</t>
  </si>
  <si>
    <t xml:space="preserve">Auctions, Dinners/Galas, Mail, Phone, Planned Giving</t>
  </si>
  <si>
    <t xml:space="preserve">Judy Willems (Chair of Board)</t>
  </si>
  <si>
    <t xml:space="preserve">Kenneth Pettigrew (Chair), Jeff Baker (VC), Suzanne Culp (Treasurer), Hugh Gayler (Secretary), Sue Biggs (Development), Julia D'Amico (Marketing), Daryl Novak (Governance), Tim Frazer (Programme), John Senn (Finance), Allison Baker (Membership), Ruth MacVicar, Elise Naccarato (Managing Dir), Ursula Witkowska (General Dir)</t>
  </si>
  <si>
    <t xml:space="preserve">STRONG PROSPECT. Revenue $366K in sweet spot. Fundraising spend only $12.9K (3.5% of rev) = minimal systematic fundraising. BUT consulting fees $140K is high -- check what this covers. Receipted donations $71K = room to grow. Has Development Chair on board (Sue Biggs) but likely volunteer role.</t>
  </si>
  <si>
    <t xml:space="preserve">895487296RR0001</t>
  </si>
  <si>
    <t xml:space="preserve">Dinners/Galas, Phone, Special Events</t>
  </si>
  <si>
    <t xml:space="preserve">Stephen Gammon (Treasurer), Danielle Gugler (Secretary), Geoffrey Sirett, Adam Gordon, Les Casson, Michael Cooke, Helen Rutledge, Kathy Yan Li, David Strontg</t>
  </si>
  <si>
    <t xml:space="preserve">EXCELLENT PROSPECT. Revenue $386K, $0 fundraising spend, only $24K consulting. Receipted donations $135K already decent but ZERO fundraising infrastructure. Strong financial position ($347K assets). Kingston market. Perfect entry point for fundraising consulting.</t>
  </si>
  <si>
    <t xml:space="preserve">118983568RR0001</t>
  </si>
  <si>
    <t xml:space="preserve">Auctions, Mail, Email, Phone, Planned Giving, Special Events, Targeted Contacts</t>
  </si>
  <si>
    <t xml:space="preserve">Kenneth Seiling (Chair)</t>
  </si>
  <si>
    <t xml:space="preserve">Nancy Regehr (Past Chair &amp; Sec), David Taylor (Treasurer), Rachel Behling, John Imrie, Wendy Imrie, Heather Ivall, Shermeen Kahn, Andrew Mellanby, Sean Simpson, Holly Harkins-Manning</t>
  </si>
  <si>
    <t xml:space="preserve">MODERATE PROSPECT. Revenue $441K in sweet spot. Already has $178K receipted donations and uses 8 fundraising methods = more sophisticated. $32K fundraising spend. BUT consulting fees $261K is very high -- likely paying AD and musicians. May already have professional fundraising advice. Worth investigating what the consulting covers.</t>
  </si>
  <si>
    <t xml:space="preserve">118946748RR0001</t>
  </si>
  <si>
    <t xml:space="preserve">Auctions, Email, Special Events</t>
  </si>
  <si>
    <t xml:space="preserve">See CRA filing for names</t>
  </si>
  <si>
    <t xml:space="preserve">GOOD PROSPECT but on smaller side. Revenue $160K (below $200K threshold). Only $10.5K in receipted donations = almost no donor program. $11.5K fundraising spend. Consulting $79K likely musician fees. Very lean operation with only $43K assets. Could benefit hugely from fundraising strategy but may not have budget for consulting.</t>
  </si>
  <si>
    <t xml:space="preserve">119071876RR0001</t>
  </si>
  <si>
    <t xml:space="preserve">Auctions, Email, Phone, Planned Giving, Special Events</t>
  </si>
  <si>
    <t xml:space="preserve">Bernard Etzinger (Chair)</t>
  </si>
  <si>
    <t xml:space="preserve">Anna Jahn (VC), Ada Kwok (Treasurer), Venassa Baptiste (Asst Treasurer), Tayler Farrell (Secretary), Kyle Lambert (Secretary), Sarah Devlin (ED), Katherine Holmes, Alexis Nickson, Lara Deutsch (Musicians Rep), Travis Mandel (Musicians Rep), Adam Salmond</t>
  </si>
  <si>
    <t xml:space="preserve">STRONG PROSPECT. Revenue $425K, only $1.5K fundraising spend (basically zero). $92K receipted donations with room to grow. $61K gov funding. Has ED (Sarah Devlin) and reorganized post-pandemic. Musician-led governance model means fundraising likely not a priority yet. Strong need for fundraising infrastructure.</t>
  </si>
  <si>
    <t xml:space="preserve">119142370RR0001</t>
  </si>
  <si>
    <t xml:space="preserve">2023-05-31</t>
  </si>
  <si>
    <t xml:space="preserve">Auctions, Dinners/Galas</t>
  </si>
  <si>
    <t xml:space="preserve">See website (Volunteer Board)</t>
  </si>
  <si>
    <t xml:space="preserve">David Livingston (Sec-Treasurer), Paul Tichauer (Treasurer), Carol Baker (Secretary), Paul Bolton, Heather Castrucci, Steven Newman, Bob Soja, Dean Mercer, Bruno Degazio, Lynda Hester, Ally Ladak, Ted Runcie</t>
  </si>
  <si>
    <t xml:space="preserve">EXCELLENT PROSPECT. Revenue $222K in sweet spot. ZERO fundraising spend. Only $5.5K consulting. Only $15K receipted donations but $52K non-receipted + $107K from events = heavily event-dependent. Only uses auctions + galas for fundraising = very unsophisticated. Volunteer board. Explicitly states need for donor support. Perfect client.</t>
  </si>
  <si>
    <t xml:space="preserve">119070845RR0001</t>
  </si>
  <si>
    <t xml:space="preserve">Dinners/Galas, Mail, Planned Giving</t>
  </si>
  <si>
    <t xml:space="preserve">Sherwood Bassin (Chair)</t>
  </si>
  <si>
    <t xml:space="preserve">Emily Hughes (VC), Ivano Labricciosa (Secretary), John Green, Eugene Oscapella, Leon Efraim, Walter Fernandez, Joel Nascimento, Shashi Bhatia, James Rough</t>
  </si>
  <si>
    <t xml:space="preserve">STRONG PROSPECT. Revenue $447K but NEGATIVE net assets ($17K assets vs $80K liabilities) = financial stress. ZERO fundraising spend, only $4K consulting. Heavily dependent on special events ($236K = 53% of revenue) and gov grants ($103K). Only $46K receipted donations. Durham region. Urgent need for diversified fundraising strategy.</t>
  </si>
  <si>
    <t xml:space="preserve">135807824RR0001</t>
  </si>
  <si>
    <t xml:space="preserve">2023-09-30</t>
  </si>
  <si>
    <t xml:space="preserve">Dinners/Galas, Email, Phone, Internet, Planned Giving, Special Events</t>
  </si>
  <si>
    <t xml:space="preserve">Peter Barr (Past Chair, Retired Deloitte Partner), Justin Gorgi (Treasurer, CPA)</t>
  </si>
  <si>
    <t xml:space="preserve">MODERATE PROSPECT. Revenue $484K but already spending $53K on fundraising and uses 7 methods = more sophisticated. Only $16K receipted donations is surprisingly low for their profile. $100K gov funding. High liabilities ($165K). Has professional management. May be too sophisticated for entry point but could need fundraising STRATEGY even if they already have some infrastructure.</t>
  </si>
  <si>
    <t xml:space="preserve">NORTHMOUNT SCHOOL FOR BOYS - CharityData Financial Profile</t>
  </si>
  <si>
    <t xml:space="preserve">This is an example of the data available on charitydata.ca for EACH organization. Use this as a template for what to look up.</t>
  </si>
  <si>
    <t xml:space="preserve">KEY FINANCIAL METRICS</t>
  </si>
  <si>
    <t xml:space="preserve">2024</t>
  </si>
  <si>
    <t xml:space="preserve">Total Revenue (line 4700)</t>
  </si>
  <si>
    <t xml:space="preserve">$4,022,974</t>
  </si>
  <si>
    <t xml:space="preserve">Receipted Donations (line 4500)</t>
  </si>
  <si>
    <t xml:space="preserve">$585,672</t>
  </si>
  <si>
    <t xml:space="preserve">Revenue from other charities (line 4510)</t>
  </si>
  <si>
    <t xml:space="preserve">$64,820</t>
  </si>
  <si>
    <t xml:space="preserve">Non-receipted fundraising revenue (line 4630)</t>
  </si>
  <si>
    <t xml:space="preserve">$2,155,403</t>
  </si>
  <si>
    <t xml:space="preserve">Other revenue (line 4650)</t>
  </si>
  <si>
    <t xml:space="preserve">$1,068,799</t>
  </si>
  <si>
    <t xml:space="preserve">Total Expenditures (line 5100)</t>
  </si>
  <si>
    <t xml:space="preserve">$3,421,843</t>
  </si>
  <si>
    <t xml:space="preserve">Expenditures on charitable activities (5000)</t>
  </si>
  <si>
    <t xml:space="preserve">$3,305,863</t>
  </si>
  <si>
    <t xml:space="preserve">Fundraising expenditures (line 5020)</t>
  </si>
  <si>
    <t xml:space="preserve">$47,366</t>
  </si>
  <si>
    <t xml:space="preserve">Management/admin expenditures (5010)</t>
  </si>
  <si>
    <t xml:space="preserve">$59,114</t>
  </si>
  <si>
    <t xml:space="preserve">Professional/consulting fees (line 4860)</t>
  </si>
  <si>
    <t xml:space="preserve">$17,981</t>
  </si>
  <si>
    <t xml:space="preserve">Total compensation (line 4880)</t>
  </si>
  <si>
    <t xml:space="preserve">$2,374,940</t>
  </si>
  <si>
    <t xml:space="preserve">STAFF</t>
  </si>
  <si>
    <t xml:space="preserve">Full-time employees</t>
  </si>
  <si>
    <t xml:space="preserve">18</t>
  </si>
  <si>
    <t xml:space="preserve">Part-time employees</t>
  </si>
  <si>
    <t xml:space="preserve">1</t>
  </si>
  <si>
    <t xml:space="preserve">Highest paid: $80K-$120K range</t>
  </si>
  <si>
    <t xml:space="preserve">9 employees</t>
  </si>
  <si>
    <t xml:space="preserve">Highest paid: $120K-$160K range</t>
  </si>
  <si>
    <t xml:space="preserve">1 employee</t>
  </si>
  <si>
    <t xml:space="preserve">BOARD OF DIRECTORS</t>
  </si>
  <si>
    <t xml:space="preserve">Chair</t>
  </si>
  <si>
    <t xml:space="preserve">Keith McLean (since 2009)</t>
  </si>
  <si>
    <t xml:space="preserve">Treasurer</t>
  </si>
  <si>
    <t xml:space="preserve">Daniel Stronach (since 2007)</t>
  </si>
  <si>
    <t xml:space="preserve">Directors</t>
  </si>
  <si>
    <t xml:space="preserve">Sean Bayley (2014), Robin Di Tosto (2023), Michael Duffy (2011), Gerard McCabe (2014), Oscar Roque (2024), Vasily Zadorojny (2023)</t>
  </si>
  <si>
    <t xml:space="preserve">FUNDRAISING METHODS</t>
  </si>
  <si>
    <t xml:space="preserve">Methods used</t>
  </si>
  <si>
    <t xml:space="preserve">Auctions, Fundraising dinners/galas, Targeted contacts</t>
  </si>
  <si>
    <t xml:space="preserve">External fundraisers paid?</t>
  </si>
  <si>
    <t xml:space="preserve">No</t>
  </si>
  <si>
    <t xml:space="preserve">TOP DONORS (from other charities)</t>
  </si>
  <si>
    <t xml:space="preserve">Lamb Foundation (Toronto)</t>
  </si>
  <si>
    <t xml:space="preserve">$1,170,040 (2024)</t>
  </si>
  <si>
    <t xml:space="preserve">Northmount Foundation Inc.</t>
  </si>
  <si>
    <t xml:space="preserve">Historical major donor</t>
  </si>
  <si>
    <t xml:space="preserve">WHAT TO LOOK FOR IN SWEET SPOT PROSPECTS</t>
  </si>
  <si>
    <t xml:space="preserve">Revenue</t>
  </si>
  <si>
    <t xml:space="preserve">$200K-$2M (big enough to afford you, small enough to need you)</t>
  </si>
  <si>
    <t xml:space="preserve">Receipted donations</t>
  </si>
  <si>
    <t xml:space="preserve">Low relative to revenue = untapped donor potential</t>
  </si>
  <si>
    <t xml:space="preserve">Fundraising expenditures</t>
  </si>
  <si>
    <t xml:space="preserve">Under $50K = no systematic fundraising program</t>
  </si>
  <si>
    <t xml:space="preserve">Consulting fees</t>
  </si>
  <si>
    <t xml:space="preserve">Under $25K = not currently using external help</t>
  </si>
  <si>
    <t xml:space="preserve">Staff</t>
  </si>
  <si>
    <t xml:space="preserve">Under 5 FT = no room for a dedicated development person</t>
  </si>
  <si>
    <t xml:space="preserve">Fundraising methods</t>
  </si>
  <si>
    <t xml:space="preserve">If only 'dinners/galas' and no 'targeted contacts' or 'mail campaigns' = unsophisticated fundraising</t>
  </si>
  <si>
    <t xml:space="preserve">External fundraisers</t>
  </si>
  <si>
    <t xml:space="preserve">'No' = they haven't hired help before (opportunity or red flag)</t>
  </si>
  <si>
    <t xml:space="preserve">Association</t>
  </si>
  <si>
    <t xml:space="preserve">Contact / Notes</t>
  </si>
  <si>
    <t xml:space="preserve">Why It Matters</t>
  </si>
  <si>
    <t xml:space="preserve">CIOCS</t>
  </si>
  <si>
    <t xml:space="preserve">Catholic School Network</t>
  </si>
  <si>
    <t xml:space="preserve">ciocs.ca</t>
  </si>
  <si>
    <t xml:space="preserve">See steering committee page. Newer consortium.</t>
  </si>
  <si>
    <t xml:space="preserve">Central hub for independent Catholic schools in Ontario. Present at their events to reach multiple schools.</t>
  </si>
  <si>
    <t xml:space="preserve">Edvance Christian Schools</t>
  </si>
  <si>
    <t xml:space="preserve">Christian School Network (~88 schools)</t>
  </si>
  <si>
    <t xml:space="preserve">edvance.ca</t>
  </si>
  <si>
    <t xml:space="preserve">web@edvance.ca | 289-203-7171 | 1295 North Service Rd, Suite 304, Burlington, ON</t>
  </si>
  <si>
    <t xml:space="preserve">Largest Christian school association in Ontario/eastern Canada. ~88 affiliates. Hosts conferences, leadership cohorts. Present at events.</t>
  </si>
  <si>
    <t xml:space="preserve">OFIS</t>
  </si>
  <si>
    <t xml:space="preserve">Independent School Network</t>
  </si>
  <si>
    <t xml:space="preserve">ofis.ca</t>
  </si>
  <si>
    <t xml:space="preserve">Board Chair: Glen Woolner. 50+ years.</t>
  </si>
  <si>
    <t xml:space="preserve">Broadest independent school network. Includes all types. Good for expanding beyond religious schools.</t>
  </si>
  <si>
    <t xml:space="preserve">CIS Ontario</t>
  </si>
  <si>
    <t xml:space="preserve">cisontario.ca</t>
  </si>
  <si>
    <t xml:space="preserve">See website.</t>
  </si>
  <si>
    <t xml:space="preserve">Accreditation body. More established/larger schools. Schools with existing development programs.</t>
  </si>
  <si>
    <t xml:space="preserve">Choirs Ontario</t>
  </si>
  <si>
    <t xml:space="preserve">Provincial Arts Service (~300+ choirs)</t>
  </si>
  <si>
    <t xml:space="preserve">choirsontario.org</t>
  </si>
  <si>
    <t xml:space="preserve">President: Mark Vuorinen. 300+ member choirs.</t>
  </si>
  <si>
    <t xml:space="preserve">Central directory of Ontario choirs. Reach choral organizations at conferences/events.</t>
  </si>
  <si>
    <t xml:space="preserve">Choral Canada</t>
  </si>
  <si>
    <t xml:space="preserve">National Choral Network</t>
  </si>
  <si>
    <t xml:space="preserve">choralcanada.org</t>
  </si>
  <si>
    <t xml:space="preserve">National body.</t>
  </si>
  <si>
    <t xml:space="preserve">National perspective. Useful for expanding beyond Ontario.</t>
  </si>
  <si>
    <t xml:space="preserve">Orchestras Canada</t>
  </si>
  <si>
    <t xml:space="preserve">National Orchestra Network</t>
  </si>
  <si>
    <t xml:space="preserve">orchestrascanada.org</t>
  </si>
  <si>
    <t xml:space="preserve">Service org for orchestras. Community orchestras across Canada.</t>
  </si>
  <si>
    <t xml:space="preserve">Christian Schools Canada</t>
  </si>
  <si>
    <t xml:space="preserve">National Conference</t>
  </si>
  <si>
    <t xml:space="preserve">christianschoolscanada.com</t>
  </si>
  <si>
    <t xml:space="preserve">2026 Conference in Whistler, BC.</t>
  </si>
  <si>
    <t xml:space="preserve">National conference. Speaking/networking opportunity.</t>
  </si>
  <si>
    <t xml:space="preserve">HOW TO PULL FINANCIAL DATA FROM CHARITYDATA.CA</t>
  </si>
  <si>
    <t xml:space="preserve">Step 1: Go to charitydata.ca</t>
  </si>
  <si>
    <t xml:space="preserve">Step 2: Search by organization name</t>
  </si>
  <si>
    <t xml:space="preserve">Step 3: Click on the charity to view its full profile</t>
  </si>
  <si>
    <t xml:space="preserve">Step 4: Record the following key metrics in your prospect tracker:</t>
  </si>
  <si>
    <t xml:space="preserve">KEY METRICS TO RECORD:</t>
  </si>
  <si>
    <t xml:space="preserve">- Total Revenue (line 4700): Overall org size</t>
  </si>
  <si>
    <t xml:space="preserve">- Receipted Donations (line 4500): How much they raise from individual donors</t>
  </si>
  <si>
    <t xml:space="preserve">- Non-receipted fundraising revenue (line 4630): Events, galas, etc.</t>
  </si>
  <si>
    <t xml:space="preserve">- Total Expenditures (line 5100): Operating scale</t>
  </si>
  <si>
    <t xml:space="preserve">- Fundraising expenditures (line 5020): How much they currently invest in fundraising</t>
  </si>
  <si>
    <t xml:space="preserve">- Professional/consulting fees (line 4860): Shows if they already hire external help</t>
  </si>
  <si>
    <t xml:space="preserve">- Staff count (lines 300, 370): How many FT and PT employees</t>
  </si>
  <si>
    <t xml:space="preserve">- Total compensation (line 390): Staff cost burden</t>
  </si>
  <si>
    <t xml:space="preserve">- Directors list: Names, positions, appointment dates</t>
  </si>
  <si>
    <t xml:space="preserve">- Fundraising methods: Which methods they report using</t>
  </si>
  <si>
    <t xml:space="preserve">- Gifts from other charities: Who else is funding them</t>
  </si>
  <si>
    <t xml:space="preserve">YOUR SWEET SPOT FILTER:</t>
  </si>
  <si>
    <t xml:space="preserve">Total Revenue: $200K - $2M</t>
  </si>
  <si>
    <t xml:space="preserve">Receipted Donations: Low relative to revenue (untapped potential)</t>
  </si>
  <si>
    <t xml:space="preserve">Fundraising Spend: Under $50K (no systematic program)</t>
  </si>
  <si>
    <t xml:space="preserve">Consulting Fees: Under $25K (not using external help)</t>
  </si>
  <si>
    <t xml:space="preserve">Staff: Under 10 FT (no room for dedicated development person)</t>
  </si>
  <si>
    <t xml:space="preserve">Fundraising Methods: Limited (dinners/galas only, no planned giving, no mail campaigns)</t>
  </si>
  <si>
    <t xml:space="preserve">BROWSER METHOD (confirmed working):</t>
  </si>
  <si>
    <t xml:space="preserve">I confirmed that Claude's browser tools can read CharityData pages.</t>
  </si>
  <si>
    <t xml:space="preserve">In a follow-up conversation, ask me to pull CharityData for specific orgs</t>
  </si>
  <si>
    <t xml:space="preserve">and I can extract the full financial profile for each one.</t>
  </si>
  <si>
    <t xml:space="preserve">EXPANDED CATHOLIC SCHOOLS (AB, SK, QC, non-CIOCS ON) - CRA T3010 Financial Data (2023)</t>
  </si>
  <si>
    <t xml:space="preserve">Sweet Spot: Rev $200K-$2M | Fundraising Exp &lt;$50K | Consulting &lt;$25K</t>
  </si>
  <si>
    <t xml:space="preserve">Organization Name</t>
  </si>
  <si>
    <t xml:space="preserve">City</t>
  </si>
  <si>
    <t xml:space="preserve">FY End</t>
  </si>
  <si>
    <t xml:space="preserve">Non-Receipted Donations</t>
  </si>
  <si>
    <t xml:space="preserve">Gov Funding</t>
  </si>
  <si>
    <t xml:space="preserve">Special Events Rev</t>
  </si>
  <si>
    <t xml:space="preserve">Total Liabilities</t>
  </si>
  <si>
    <t xml:space="preserve">Fundraising Expenditure</t>
  </si>
  <si>
    <t xml:space="preserve">Total Expenditures</t>
  </si>
  <si>
    <t xml:space="preserve">Charitable Programs</t>
  </si>
  <si>
    <t xml:space="preserve">Mgmt/Admin</t>
  </si>
  <si>
    <t xml:space="preserve">Compensation</t>
  </si>
  <si>
    <t xml:space="preserve">Fundraising %</t>
  </si>
  <si>
    <t xml:space="preserve">Board Size</t>
  </si>
  <si>
    <t xml:space="preserve">Board Chair/President</t>
  </si>
  <si>
    <t xml:space="preserve">Ottawa</t>
  </si>
  <si>
    <t xml:space="preserve">137230553RR0001</t>
  </si>
  <si>
    <t xml:space="preserve">email</t>
  </si>
  <si>
    <t xml:space="preserve">Toronto</t>
  </si>
  <si>
    <t xml:space="preserve">119013589RR0001</t>
  </si>
  <si>
    <t xml:space="preserve">government</t>
  </si>
  <si>
    <t xml:space="preserve">STRONG PROSPECT - Rev $1.25M in sweet spot. Only $12K fundraising exp, $13K consulting. $140K special events shows some capacity. Small board (5).</t>
  </si>
  <si>
    <t xml:space="preserve">Montreal</t>
  </si>
  <si>
    <t xml:space="preserve">119252062RR0001</t>
  </si>
  <si>
    <t xml:space="preserve">(none reported)</t>
  </si>
  <si>
    <t xml:space="preserve">POSSIBLE - Rev $3.7M above sweet spot. $337K donations but ZERO fundraising exp and $65K consulting. English-language Montreal school. Could benefit from structured fundraising.</t>
  </si>
  <si>
    <t xml:space="preserve">Coaticook</t>
  </si>
  <si>
    <t xml:space="preserve">107621443RR0001</t>
  </si>
  <si>
    <t xml:space="preserve">LAMOUREUX, Marie-Claude (Presidente)</t>
  </si>
  <si>
    <t xml:space="preserve">Calgary</t>
  </si>
  <si>
    <t xml:space="preserve">893650259RR0001</t>
  </si>
  <si>
    <t xml:space="preserve">dinner/gala, mail, email, phone, special_events</t>
  </si>
  <si>
    <t xml:space="preserve">UNLIKELY - Rev $9M well above sweet spot. Already has multiple fundraising methods. $152K consulting. Very low donations ($12K) despite high revenue.</t>
  </si>
  <si>
    <t xml:space="preserve">107607822RR0001</t>
  </si>
  <si>
    <t xml:space="preserve">email, phone, corporate</t>
  </si>
  <si>
    <t xml:space="preserve">Shawinigan</t>
  </si>
  <si>
    <t xml:space="preserve">107967002RR0001</t>
  </si>
  <si>
    <t xml:space="preserve">PELLETIER, Martin (President)</t>
  </si>
  <si>
    <t xml:space="preserve">UNLIKELY - Rev $4.2M well above sweet spot. $591K consulting already. Low donations ($55K). Francophone market.</t>
  </si>
  <si>
    <t xml:space="preserve">119191500RR0001</t>
  </si>
  <si>
    <t xml:space="preserve">auction, dinner/gala, email, phone, internet, planned_giving, targeted</t>
  </si>
  <si>
    <t xml:space="preserve">Rigaud</t>
  </si>
  <si>
    <t xml:space="preserve">119011674RR0001</t>
  </si>
  <si>
    <t xml:space="preserve">BOURBONNAIS, Michel (President)</t>
  </si>
  <si>
    <t xml:space="preserve">Wilcox</t>
  </si>
  <si>
    <t xml:space="preserve">106735962RR0001</t>
  </si>
  <si>
    <t xml:space="preserve">MAYNARD, Murray (Chairman)</t>
  </si>
  <si>
    <t xml:space="preserve">auction, mail, email, phone, planned_giving, special_events, door_to_door, targeted</t>
  </si>
  <si>
    <t xml:space="preserve">890643844RR0001</t>
  </si>
  <si>
    <t xml:space="preserve">TOO LARGE - Rev $13.6M. $1.2M consulting. $2M in donations but ZERO fundraising exp reported. Jesuit school.</t>
  </si>
  <si>
    <t xml:space="preserve">Levis</t>
  </si>
  <si>
    <t xml:space="preserve">106989999RR0001</t>
  </si>
  <si>
    <t xml:space="preserve">Gatineau</t>
  </si>
  <si>
    <t xml:space="preserve">118892686RR0001</t>
  </si>
  <si>
    <t xml:space="preserve">PAQUIN, Nicole (Presidente)</t>
  </si>
  <si>
    <t xml:space="preserve">EXPANDED ARTS ORGANIZATIONS - CRA T3010 Financial Data (2023)</t>
  </si>
  <si>
    <t xml:space="preserve">Hamilton</t>
  </si>
  <si>
    <t xml:space="preserve">128756681RR0001</t>
  </si>
  <si>
    <t xml:space="preserve">STRONG PROSPECT - Rev $1.7M in sweet spot. Zero fundraising exp, $11K consulting. $226K donations + $645K gov. Running deficit though ($77K).</t>
  </si>
  <si>
    <t xml:space="preserve">Millbrook</t>
  </si>
  <si>
    <t xml:space="preserve">137622866RR0001</t>
  </si>
  <si>
    <t xml:space="preserve">2023-03-31</t>
  </si>
  <si>
    <t xml:space="preserve">STRONG PROSPECT - Near Peterborough. Rev $1.2M in sweet spot. Zero fundraising exp, $17K consulting. $113K donations + $175K gov funding. Significant net liabilities though.</t>
  </si>
  <si>
    <t xml:space="preserve">Oakville</t>
  </si>
  <si>
    <t xml:space="preserve">119064525RR0001</t>
  </si>
  <si>
    <t xml:space="preserve">STRONG PROSPECT - Rev $323K in sweet spot. Zero fundraising exp, $12K consulting. $67K donations + $90K special events. Affluent community = high donor potential.</t>
  </si>
  <si>
    <t xml:space="preserve">Peterborough</t>
  </si>
  <si>
    <t xml:space="preserve">119092062RR0001</t>
  </si>
  <si>
    <t xml:space="preserve">STRONG PROSPECT - YOUR BACKYARD. Rev $242K in sweet spot. ZERO fundraising exp but $32K consulting. $68K in donations. Peterborough = home territory for Apollo.</t>
  </si>
  <si>
    <t xml:space="preserve">132167800RR0001</t>
  </si>
  <si>
    <t xml:space="preserve">STRONG PROSPECT - YOUR BACKYARD. Rev $224K in sweet spot. Zero fundraising exp, $4.2K consulting. Almost no donations ($12K) = massive untapped potential in Peterborough.</t>
  </si>
  <si>
    <t xml:space="preserve">Timmins</t>
  </si>
  <si>
    <t xml:space="preserve">119259158RR0001</t>
  </si>
  <si>
    <t xml:space="preserve">GOOD PROSPECT - Rev $277K in sweet spot. Only $401 fundraising, $5K consulting. $72K receipted donations. Remote location but solid financials.</t>
  </si>
  <si>
    <t xml:space="preserve">Scarborough</t>
  </si>
  <si>
    <t xml:space="preserve">890364573RR0001</t>
  </si>
  <si>
    <t xml:space="preserve">Brantford</t>
  </si>
  <si>
    <t xml:space="preserve">127941607RR0001</t>
  </si>
  <si>
    <t xml:space="preserve">Guelph</t>
  </si>
  <si>
    <t xml:space="preserve">886212919RR0001</t>
  </si>
  <si>
    <t xml:space="preserve">GOOD PROSPECT - Rev $190K just below sweet spot floor. $162 fundraising exp = essentially zero. $4.4K consulting. Very small operation with room to grow.</t>
  </si>
  <si>
    <t xml:space="preserve">Owen Sound</t>
  </si>
  <si>
    <t xml:space="preserve">118937275RR0001</t>
  </si>
  <si>
    <t xml:space="preserve">GOOD PROSPECT - Rev $187K near sweet spot floor. $13K fundraising, ZERO consulting. $53K in donations. Small but with donor base potential.</t>
  </si>
  <si>
    <t xml:space="preserve">Campbellford</t>
  </si>
  <si>
    <t xml:space="preserve">867691743RR0001</t>
  </si>
  <si>
    <t xml:space="preserve">MODERATE - Near Peterborough region. Rev $1.1M in sweet spot. $49K fundraising (near ceiling), $11K consulting. $168K donations. Already doing some fundraising.</t>
  </si>
  <si>
    <t xml:space="preserve">Orillia</t>
  </si>
  <si>
    <t xml:space="preserve">119033215RR0001</t>
  </si>
  <si>
    <t xml:space="preserve">AT CEILING - Rev $1.99M at top of sweet spot. Already $198K fundraising exp and $25K consulting. Some professional infrastructure exists. May still benefit from strategic consulting.</t>
  </si>
  <si>
    <t xml:space="preserve">Sault Ste Marie</t>
  </si>
  <si>
    <t xml:space="preserve">891943649RR0001</t>
  </si>
  <si>
    <t xml:space="preserve">POSSIBLE - Rev $287K in sweet spot. Zero fundraising, but $63K consulting already. $92K gov funding. Remote location.</t>
  </si>
  <si>
    <t xml:space="preserve">North Bay</t>
  </si>
  <si>
    <t xml:space="preserve">122736895RR0001</t>
  </si>
  <si>
    <t xml:space="preserve">ABOVE SWEET SPOT - Rev $2.4M. Only $29K fundraising and $5K consulting. Significant net liabilities. Remote.</t>
  </si>
  <si>
    <t xml:space="preserve">Port Hope</t>
  </si>
  <si>
    <t xml:space="preserve">135729598RR0001</t>
  </si>
  <si>
    <t xml:space="preserve">Etobicoke</t>
  </si>
  <si>
    <t xml:space="preserve">118902816RR0001</t>
  </si>
  <si>
    <t xml:space="preserve">SMALL - Rev $142K below floor. $2.2K fundraising, $1.3K consulting. Mostly volunteer-run. May be too small for consulting engagement.</t>
  </si>
  <si>
    <t xml:space="preserve">Cambridge</t>
  </si>
  <si>
    <t xml:space="preserve">847013752RR0001</t>
  </si>
  <si>
    <t xml:space="preserve">SMALL but interesting. Rev $122K below floor. Zero fundraising, $2.9K consulting. $38K donations. Very lean operation.</t>
  </si>
  <si>
    <t xml:space="preserve">Elora</t>
  </si>
  <si>
    <t xml:space="preserve">888852449RR0001</t>
  </si>
  <si>
    <t xml:space="preserve">Stayner</t>
  </si>
  <si>
    <t xml:space="preserve">862981255RR0001</t>
  </si>
  <si>
    <t xml:space="preserve">Selby</t>
  </si>
  <si>
    <t xml:space="preserve">133604363RR0001</t>
  </si>
  <si>
    <t xml:space="preserve">Oshawa</t>
  </si>
  <si>
    <t xml:space="preserve">885717744RR0001</t>
  </si>
  <si>
    <t xml:space="preserve">North York</t>
  </si>
  <si>
    <t xml:space="preserve">119306538RR0001</t>
  </si>
  <si>
    <t xml:space="preserve">Markham</t>
  </si>
  <si>
    <t xml:space="preserve">869558155RR0001</t>
  </si>
</sst>
</file>

<file path=xl/styles.xml><?xml version="1.0" encoding="utf-8"?>
<styleSheet xmlns="http://schemas.openxmlformats.org/spreadsheetml/2006/main">
  <numFmts count="5">
    <numFmt numFmtId="164" formatCode="General"/>
    <numFmt numFmtId="165" formatCode="\$#,##0"/>
    <numFmt numFmtId="166" formatCode="0.0%"/>
    <numFmt numFmtId="167" formatCode="#,##0"/>
    <numFmt numFmtId="168" formatCode="\$#,##0"/>
  </numFmts>
  <fonts count="24">
    <font>
      <sz val="11"/>
      <color theme="1"/>
      <name val="Calibri"/>
      <family val="2"/>
      <charset val="1"/>
    </font>
    <font>
      <sz val="10"/>
      <name val="Arial"/>
      <family val="0"/>
    </font>
    <font>
      <sz val="10"/>
      <name val="Arial"/>
      <family val="0"/>
    </font>
    <font>
      <sz val="10"/>
      <name val="Arial"/>
      <family val="0"/>
    </font>
    <font>
      <b val="true"/>
      <sz val="14"/>
      <color rgb="FF1F4E79"/>
      <name val="Cambria"/>
      <family val="0"/>
      <charset val="1"/>
    </font>
    <font>
      <i val="true"/>
      <sz val="10"/>
      <name val="Cambria"/>
      <family val="0"/>
      <charset val="1"/>
    </font>
    <font>
      <b val="true"/>
      <sz val="11"/>
      <color rgb="FFFFFFFF"/>
      <name val="Cambria"/>
      <family val="0"/>
      <charset val="1"/>
    </font>
    <font>
      <b val="true"/>
      <sz val="11"/>
      <name val="Cambria"/>
      <family val="0"/>
      <charset val="1"/>
    </font>
    <font>
      <b val="true"/>
      <sz val="12"/>
      <name val="Cambria"/>
      <family val="0"/>
      <charset val="1"/>
    </font>
    <font>
      <b val="true"/>
      <sz val="11"/>
      <color rgb="FFFFFFFF"/>
      <name val="Arial"/>
      <family val="0"/>
      <charset val="1"/>
    </font>
    <font>
      <sz val="10"/>
      <name val="Arial"/>
      <family val="0"/>
      <charset val="1"/>
    </font>
    <font>
      <b val="true"/>
      <sz val="9"/>
      <color rgb="FF1F4E79"/>
      <name val="Arial"/>
      <family val="0"/>
      <charset val="1"/>
    </font>
    <font>
      <b val="true"/>
      <sz val="10"/>
      <color rgb="FFFFFFFF"/>
      <name val="Arial"/>
      <family val="0"/>
      <charset val="1"/>
    </font>
    <font>
      <b val="true"/>
      <sz val="9"/>
      <name val="Arial"/>
      <family val="0"/>
      <charset val="1"/>
    </font>
    <font>
      <sz val="8"/>
      <name val="Arial"/>
      <family val="0"/>
      <charset val="1"/>
    </font>
    <font>
      <sz val="9"/>
      <name val="Arial"/>
      <family val="0"/>
      <charset val="1"/>
    </font>
    <font>
      <b val="true"/>
      <sz val="9"/>
      <color rgb="FFFF0000"/>
      <name val="Arial"/>
      <family val="0"/>
      <charset val="1"/>
    </font>
    <font>
      <b val="true"/>
      <sz val="10"/>
      <color rgb="FFC8461C"/>
      <name val="Arial"/>
      <family val="0"/>
      <charset val="1"/>
    </font>
    <font>
      <b val="true"/>
      <sz val="10"/>
      <color rgb="FF1F4E79"/>
      <name val="Arial"/>
      <family val="0"/>
      <charset val="1"/>
    </font>
    <font>
      <b val="true"/>
      <sz val="10"/>
      <name val="Arial"/>
      <family val="0"/>
      <charset val="1"/>
    </font>
    <font>
      <b val="true"/>
      <sz val="14"/>
      <color rgb="FFC8461C"/>
      <name val="Arial"/>
      <family val="0"/>
      <charset val="1"/>
    </font>
    <font>
      <b val="true"/>
      <sz val="11"/>
      <color rgb="FFC8461C"/>
      <name val="Arial"/>
      <family val="0"/>
      <charset val="1"/>
    </font>
    <font>
      <b val="true"/>
      <sz val="12"/>
      <color rgb="FF2F5496"/>
      <name val="Cambria"/>
      <family val="0"/>
      <charset val="1"/>
    </font>
    <font>
      <b val="true"/>
      <sz val="12"/>
      <color rgb="FF7030A0"/>
      <name val="Cambria"/>
      <family val="0"/>
      <charset val="1"/>
    </font>
  </fonts>
  <fills count="14">
    <fill>
      <patternFill patternType="none"/>
    </fill>
    <fill>
      <patternFill patternType="gray125"/>
    </fill>
    <fill>
      <patternFill patternType="solid">
        <fgColor rgb="FF1F4E79"/>
        <bgColor rgb="FF2F5496"/>
      </patternFill>
    </fill>
    <fill>
      <patternFill patternType="solid">
        <fgColor rgb="FF00B050"/>
        <bgColor rgb="FF008080"/>
      </patternFill>
    </fill>
    <fill>
      <patternFill patternType="solid">
        <fgColor rgb="FFFFC7CE"/>
        <bgColor rgb="FFD9D9D9"/>
      </patternFill>
    </fill>
    <fill>
      <patternFill patternType="solid">
        <fgColor rgb="FFC6EFCE"/>
        <bgColor rgb="FFD9D9D9"/>
      </patternFill>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D9D9D9"/>
        <bgColor rgb="FFC6EFCE"/>
      </patternFill>
    </fill>
    <fill>
      <patternFill patternType="solid">
        <fgColor rgb="FFC8461C"/>
        <bgColor rgb="FF993366"/>
      </patternFill>
    </fill>
    <fill>
      <patternFill patternType="solid">
        <fgColor rgb="FFFFF2CC"/>
        <bgColor rgb="FFFFFFFF"/>
      </patternFill>
    </fill>
    <fill>
      <patternFill patternType="solid">
        <fgColor rgb="FF2F5496"/>
        <bgColor rgb="FF1F4E79"/>
      </patternFill>
    </fill>
    <fill>
      <patternFill patternType="solid">
        <fgColor rgb="FF7030A0"/>
        <bgColor rgb="FF993366"/>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4" borderId="1" xfId="0" applyFont="false" applyBorder="true" applyAlignment="true" applyProtection="false">
      <alignment horizontal="general" vertical="top" textRotation="0" wrapText="true" indent="0" shrinkToFit="false"/>
      <protection locked="true" hidden="false"/>
    </xf>
    <xf numFmtId="165" fontId="0" fillId="0" borderId="1" xfId="0" applyFont="fals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0" fillId="5" borderId="1" xfId="0" applyFont="false" applyBorder="true" applyAlignment="true" applyProtection="false">
      <alignment horizontal="general" vertical="top" textRotation="0" wrapText="true" indent="0" shrinkToFit="false"/>
      <protection locked="true" hidden="false"/>
    </xf>
    <xf numFmtId="164" fontId="0" fillId="7" borderId="1" xfId="0" applyFont="false" applyBorder="true" applyAlignment="true" applyProtection="false">
      <alignment horizontal="general" vertical="top" textRotation="0" wrapText="true" indent="0" shrinkToFit="false"/>
      <protection locked="true" hidden="false"/>
    </xf>
    <xf numFmtId="164" fontId="0" fillId="8" borderId="1" xfId="0" applyFont="false" applyBorder="true" applyAlignment="true" applyProtection="false">
      <alignment horizontal="general" vertical="top" textRotation="0" wrapText="true" indent="0" shrinkToFit="false"/>
      <protection locked="true" hidden="false"/>
    </xf>
    <xf numFmtId="164" fontId="0" fillId="9" borderId="1" xfId="0" applyFont="fals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9" fillId="10"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0" fillId="11" borderId="1" xfId="0" applyFont="true" applyBorder="true" applyAlignment="true" applyProtection="false">
      <alignment horizontal="general" vertical="top" textRotation="0" wrapText="true" indent="0" shrinkToFit="false"/>
      <protection locked="true" hidden="false"/>
    </xf>
    <xf numFmtId="164" fontId="11" fillId="11" borderId="0" xfId="0" applyFont="true" applyBorder="true" applyAlignment="true" applyProtection="false">
      <alignment horizontal="center" vertical="bottom"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7" fontId="15" fillId="4" borderId="1" xfId="0" applyFont="true" applyBorder="true" applyAlignment="true" applyProtection="false">
      <alignment horizontal="general" vertical="top" textRotation="0" wrapText="true" indent="0" shrinkToFit="false"/>
      <protection locked="true" hidden="false"/>
    </xf>
    <xf numFmtId="167" fontId="15" fillId="0" borderId="1" xfId="0" applyFont="true" applyBorder="true" applyAlignment="true" applyProtection="false">
      <alignment horizontal="general" vertical="top" textRotation="0" wrapText="true" indent="0" shrinkToFit="false"/>
      <protection locked="true" hidden="false"/>
    </xf>
    <xf numFmtId="167" fontId="15" fillId="5"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8" fillId="11" borderId="0" xfId="0" applyFont="true" applyBorder="true" applyAlignment="true" applyProtection="false">
      <alignment horizontal="center"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7" fontId="10" fillId="5" borderId="1" xfId="0" applyFont="true" applyBorder="true" applyAlignment="true" applyProtection="false">
      <alignment horizontal="general" vertical="top" textRotation="0" wrapText="true" indent="0" shrinkToFit="false"/>
      <protection locked="true" hidden="false"/>
    </xf>
    <xf numFmtId="167" fontId="10" fillId="0" borderId="1" xfId="0" applyFont="true" applyBorder="true" applyAlignment="true" applyProtection="false">
      <alignment horizontal="general" vertical="top" textRotation="0" wrapText="true" indent="0" shrinkToFit="false"/>
      <protection locked="true" hidden="false"/>
    </xf>
    <xf numFmtId="167" fontId="10" fillId="4"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false" indent="0" shrinkToFit="false"/>
      <protection locked="true" hidden="false"/>
    </xf>
    <xf numFmtId="164" fontId="6" fillId="1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8" fontId="0" fillId="4" borderId="1" xfId="0" applyFont="false" applyBorder="true" applyAlignment="true" applyProtection="false">
      <alignment horizontal="general" vertical="bottom" textRotation="0" wrapText="true" indent="0" shrinkToFit="false"/>
      <protection locked="true" hidden="false"/>
    </xf>
    <xf numFmtId="168" fontId="0" fillId="0" borderId="1" xfId="0" applyFont="false" applyBorder="true" applyAlignment="true" applyProtection="false">
      <alignment horizontal="general" vertical="bottom" textRotation="0" wrapText="true" indent="0" shrinkToFit="false"/>
      <protection locked="true" hidden="false"/>
    </xf>
    <xf numFmtId="168" fontId="0" fillId="5" borderId="1" xfId="0" applyFont="false" applyBorder="true" applyAlignment="true" applyProtection="false">
      <alignment horizontal="general" vertical="bottom" textRotation="0" wrapText="true" indent="0" shrinkToFit="false"/>
      <protection locked="true" hidden="false"/>
    </xf>
    <xf numFmtId="166" fontId="0" fillId="0" borderId="1" xfId="0" applyFont="false" applyBorder="true" applyAlignment="true" applyProtection="false">
      <alignment horizontal="general" vertical="bottom"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6" fillId="13" borderId="1" xfId="0" applyFont="true" applyBorder="true" applyAlignment="true" applyProtection="false">
      <alignment horizontal="center"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2D050"/>
      <rgbColor rgb="FFFFC000"/>
      <rgbColor rgb="FFFF9900"/>
      <rgbColor rgb="FFFF6600"/>
      <rgbColor rgb="FF666699"/>
      <rgbColor rgb="FF969696"/>
      <rgbColor rgb="FF1F4E79"/>
      <rgbColor rgb="FF00B050"/>
      <rgbColor rgb="FF003300"/>
      <rgbColor rgb="FF333300"/>
      <rgbColor rgb="FFC8461C"/>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34"/>
    <col collapsed="false" customWidth="true" hidden="false" outlineLevel="0" max="4" min="4" style="0" width="26"/>
    <col collapsed="false" customWidth="true" hidden="false" outlineLevel="0" max="5" min="5" style="0" width="8"/>
    <col collapsed="false" customWidth="true" hidden="false" outlineLevel="0" max="9" min="6" style="0" width="16"/>
    <col collapsed="false" customWidth="true" hidden="false" outlineLevel="0" max="10" min="10" style="0" width="14"/>
    <col collapsed="false" customWidth="true" hidden="false" outlineLevel="0" max="11" min="11" style="0" width="16"/>
    <col collapsed="false" customWidth="true" hidden="false" outlineLevel="0" max="12" min="12" style="0" width="12"/>
    <col collapsed="false" customWidth="true" hidden="false" outlineLevel="0" max="13" min="13" style="0" width="80"/>
  </cols>
  <sheetData>
    <row r="1" customFormat="false" ht="17.35" hidden="false" customHeight="false" outlineLevel="0" collapsed="false">
      <c r="A1" s="1" t="s">
        <v>0</v>
      </c>
    </row>
    <row r="2" customFormat="false" ht="15" hidden="false" customHeight="false" outlineLevel="0" collapsed="false">
      <c r="A2" s="2" t="s">
        <v>1</v>
      </c>
    </row>
    <row r="3" customFormat="false" ht="26.85" hidden="false" customHeight="false" outlineLevel="0" collapsed="false">
      <c r="A3" s="3" t="s">
        <v>2</v>
      </c>
      <c r="B3" s="3" t="s">
        <v>3</v>
      </c>
      <c r="C3" s="3" t="s">
        <v>4</v>
      </c>
      <c r="D3" s="3" t="s">
        <v>5</v>
      </c>
      <c r="E3" s="3" t="s">
        <v>6</v>
      </c>
      <c r="F3" s="3" t="s">
        <v>7</v>
      </c>
      <c r="G3" s="3" t="s">
        <v>8</v>
      </c>
      <c r="H3" s="3" t="s">
        <v>9</v>
      </c>
      <c r="I3" s="3" t="s">
        <v>10</v>
      </c>
      <c r="J3" s="3" t="s">
        <v>11</v>
      </c>
      <c r="K3" s="3" t="s">
        <v>12</v>
      </c>
      <c r="L3" s="3" t="s">
        <v>13</v>
      </c>
      <c r="M3" s="3" t="s">
        <v>14</v>
      </c>
    </row>
    <row r="4" customFormat="false" ht="23.85" hidden="false" customHeight="false" outlineLevel="0" collapsed="false">
      <c r="A4" s="4" t="n">
        <v>1</v>
      </c>
      <c r="B4" s="4" t="s">
        <v>15</v>
      </c>
      <c r="C4" s="5" t="s">
        <v>16</v>
      </c>
      <c r="D4" s="5" t="s">
        <v>17</v>
      </c>
      <c r="E4" s="5" t="s">
        <v>18</v>
      </c>
      <c r="F4" s="6" t="n">
        <v>2871334</v>
      </c>
      <c r="G4" s="7" t="n">
        <v>242577</v>
      </c>
      <c r="H4" s="7" t="n">
        <v>242577</v>
      </c>
      <c r="I4" s="8" t="n">
        <v>0</v>
      </c>
      <c r="J4" s="8" t="n">
        <v>15993</v>
      </c>
      <c r="K4" s="7" t="n">
        <v>2989313</v>
      </c>
      <c r="L4" s="9" t="n">
        <f aca="false">IF(F4&gt;0,H4/F4,0)</f>
        <v>0.0844823346918192</v>
      </c>
      <c r="M4" s="5" t="s">
        <v>19</v>
      </c>
    </row>
    <row r="5" customFormat="false" ht="15" hidden="false" customHeight="false" outlineLevel="0" collapsed="false">
      <c r="A5" s="4" t="n">
        <v>2</v>
      </c>
      <c r="B5" s="4" t="s">
        <v>15</v>
      </c>
      <c r="C5" s="5" t="s">
        <v>20</v>
      </c>
      <c r="D5" s="5" t="s">
        <v>21</v>
      </c>
      <c r="E5" s="5" t="s">
        <v>18</v>
      </c>
      <c r="F5" s="8" t="n">
        <v>1264580</v>
      </c>
      <c r="G5" s="7" t="n">
        <v>567848</v>
      </c>
      <c r="H5" s="7" t="n">
        <v>604504</v>
      </c>
      <c r="I5" s="8" t="n">
        <v>4659</v>
      </c>
      <c r="J5" s="8" t="n">
        <v>12073</v>
      </c>
      <c r="K5" s="7" t="n">
        <v>1241207</v>
      </c>
      <c r="L5" s="9" t="n">
        <f aca="false">IF(F5&gt;0,H5/F5,0)</f>
        <v>0.478027487387117</v>
      </c>
      <c r="M5" s="5" t="s">
        <v>22</v>
      </c>
    </row>
    <row r="6" customFormat="false" ht="23.85" hidden="false" customHeight="false" outlineLevel="0" collapsed="false">
      <c r="A6" s="4" t="n">
        <v>3</v>
      </c>
      <c r="B6" s="4" t="s">
        <v>15</v>
      </c>
      <c r="C6" s="5" t="s">
        <v>23</v>
      </c>
      <c r="D6" s="5" t="s">
        <v>24</v>
      </c>
      <c r="E6" s="5" t="s">
        <v>18</v>
      </c>
      <c r="F6" s="8" t="n">
        <v>385623</v>
      </c>
      <c r="G6" s="7" t="n">
        <v>134946</v>
      </c>
      <c r="H6" s="7" t="n">
        <v>134946</v>
      </c>
      <c r="I6" s="8" t="n">
        <v>0</v>
      </c>
      <c r="J6" s="8" t="n">
        <v>23813</v>
      </c>
      <c r="K6" s="7" t="n">
        <v>347468</v>
      </c>
      <c r="L6" s="9" t="n">
        <f aca="false">IF(F6&gt;0,H6/F6,0)</f>
        <v>0.349942819800686</v>
      </c>
      <c r="M6" s="5" t="s">
        <v>25</v>
      </c>
    </row>
    <row r="7" customFormat="false" ht="15" hidden="false" customHeight="false" outlineLevel="0" collapsed="false">
      <c r="A7" s="4" t="n">
        <v>4</v>
      </c>
      <c r="B7" s="4" t="s">
        <v>15</v>
      </c>
      <c r="C7" s="5" t="s">
        <v>26</v>
      </c>
      <c r="D7" s="5" t="s">
        <v>24</v>
      </c>
      <c r="E7" s="5" t="s">
        <v>18</v>
      </c>
      <c r="F7" s="8" t="n">
        <v>222135</v>
      </c>
      <c r="G7" s="7" t="n">
        <v>14859</v>
      </c>
      <c r="H7" s="7" t="n">
        <v>66834</v>
      </c>
      <c r="I7" s="8" t="n">
        <v>0</v>
      </c>
      <c r="J7" s="8" t="n">
        <v>5535</v>
      </c>
      <c r="K7" s="7" t="n">
        <v>129489</v>
      </c>
      <c r="L7" s="9" t="n">
        <f aca="false">IF(F7&gt;0,H7/F7,0)</f>
        <v>0.300871091903572</v>
      </c>
      <c r="M7" s="5" t="s">
        <v>27</v>
      </c>
    </row>
    <row r="8" customFormat="false" ht="23.85" hidden="false" customHeight="false" outlineLevel="0" collapsed="false">
      <c r="A8" s="10" t="n">
        <v>5</v>
      </c>
      <c r="B8" s="10" t="s">
        <v>28</v>
      </c>
      <c r="C8" s="5" t="s">
        <v>29</v>
      </c>
      <c r="D8" s="5" t="s">
        <v>30</v>
      </c>
      <c r="E8" s="5" t="s">
        <v>18</v>
      </c>
      <c r="F8" s="6" t="n">
        <v>2324469</v>
      </c>
      <c r="G8" s="7" t="n">
        <v>1011406</v>
      </c>
      <c r="H8" s="7" t="n">
        <v>1011406</v>
      </c>
      <c r="I8" s="8" t="n">
        <v>11093</v>
      </c>
      <c r="J8" s="6" t="n">
        <v>28369</v>
      </c>
      <c r="K8" s="7" t="n">
        <v>2548554</v>
      </c>
      <c r="L8" s="9" t="n">
        <f aca="false">IF(F8&gt;0,H8/F8,0)</f>
        <v>0.43511270746136</v>
      </c>
      <c r="M8" s="5" t="s">
        <v>31</v>
      </c>
    </row>
    <row r="9" customFormat="false" ht="23.85" hidden="false" customHeight="false" outlineLevel="0" collapsed="false">
      <c r="A9" s="10" t="n">
        <v>6</v>
      </c>
      <c r="B9" s="10" t="s">
        <v>28</v>
      </c>
      <c r="C9" s="5" t="s">
        <v>32</v>
      </c>
      <c r="D9" s="5" t="s">
        <v>21</v>
      </c>
      <c r="E9" s="5" t="s">
        <v>18</v>
      </c>
      <c r="F9" s="8" t="n">
        <v>1720906</v>
      </c>
      <c r="G9" s="7" t="n">
        <v>3086318</v>
      </c>
      <c r="H9" s="7" t="n">
        <v>3149696</v>
      </c>
      <c r="I9" s="8" t="n">
        <v>4731</v>
      </c>
      <c r="J9" s="8" t="n">
        <v>10352</v>
      </c>
      <c r="K9" s="7" t="n">
        <v>5661994</v>
      </c>
      <c r="L9" s="9" t="n">
        <f aca="false">IF(F9&gt;0,H9/F9,0)</f>
        <v>1.83025452871917</v>
      </c>
      <c r="M9" s="5" t="s">
        <v>33</v>
      </c>
    </row>
    <row r="10" customFormat="false" ht="23.85" hidden="false" customHeight="false" outlineLevel="0" collapsed="false">
      <c r="A10" s="10" t="n">
        <v>7</v>
      </c>
      <c r="B10" s="10" t="s">
        <v>28</v>
      </c>
      <c r="C10" s="5" t="s">
        <v>34</v>
      </c>
      <c r="D10" s="5" t="s">
        <v>35</v>
      </c>
      <c r="E10" s="5" t="s">
        <v>18</v>
      </c>
      <c r="F10" s="8" t="n">
        <v>1663979</v>
      </c>
      <c r="G10" s="7" t="n">
        <v>226153</v>
      </c>
      <c r="H10" s="7" t="n">
        <v>226153</v>
      </c>
      <c r="I10" s="8" t="n">
        <v>0</v>
      </c>
      <c r="J10" s="8" t="n">
        <v>11338</v>
      </c>
      <c r="K10" s="7" t="n">
        <v>1643160</v>
      </c>
      <c r="L10" s="9" t="n">
        <f aca="false">IF(F10&gt;0,H10/F10,0)</f>
        <v>0.135910970030271</v>
      </c>
      <c r="M10" s="5" t="s">
        <v>36</v>
      </c>
    </row>
    <row r="11" customFormat="false" ht="15" hidden="false" customHeight="false" outlineLevel="0" collapsed="false">
      <c r="A11" s="10" t="n">
        <v>8</v>
      </c>
      <c r="B11" s="10" t="s">
        <v>28</v>
      </c>
      <c r="C11" s="5" t="s">
        <v>37</v>
      </c>
      <c r="D11" s="5" t="s">
        <v>21</v>
      </c>
      <c r="E11" s="5" t="s">
        <v>18</v>
      </c>
      <c r="F11" s="8" t="n">
        <v>1421169</v>
      </c>
      <c r="G11" s="7" t="n">
        <v>338245</v>
      </c>
      <c r="H11" s="7" t="n">
        <v>368117</v>
      </c>
      <c r="I11" s="8" t="n">
        <v>3781</v>
      </c>
      <c r="J11" s="8" t="n">
        <v>9995</v>
      </c>
      <c r="K11" s="7" t="n">
        <v>3000211</v>
      </c>
      <c r="L11" s="9" t="n">
        <f aca="false">IF(F11&gt;0,H11/F11,0)</f>
        <v>0.259024085101772</v>
      </c>
      <c r="M11" s="5" t="s">
        <v>38</v>
      </c>
    </row>
    <row r="12" customFormat="false" ht="23.85" hidden="false" customHeight="false" outlineLevel="0" collapsed="false">
      <c r="A12" s="10" t="n">
        <v>9</v>
      </c>
      <c r="B12" s="10" t="s">
        <v>28</v>
      </c>
      <c r="C12" s="5" t="s">
        <v>39</v>
      </c>
      <c r="D12" s="5" t="s">
        <v>30</v>
      </c>
      <c r="E12" s="5" t="s">
        <v>18</v>
      </c>
      <c r="F12" s="8" t="n">
        <v>1245307</v>
      </c>
      <c r="G12" s="7" t="n">
        <v>71033</v>
      </c>
      <c r="H12" s="7" t="n">
        <v>140907</v>
      </c>
      <c r="I12" s="8" t="n">
        <v>12439</v>
      </c>
      <c r="J12" s="8" t="n">
        <v>12586</v>
      </c>
      <c r="K12" s="7" t="n">
        <v>1306794</v>
      </c>
      <c r="L12" s="9" t="n">
        <f aca="false">IF(F12&gt;0,H12/F12,0)</f>
        <v>0.113150411906462</v>
      </c>
      <c r="M12" s="5" t="s">
        <v>40</v>
      </c>
    </row>
    <row r="13" customFormat="false" ht="23.85" hidden="false" customHeight="false" outlineLevel="0" collapsed="false">
      <c r="A13" s="10" t="n">
        <v>10</v>
      </c>
      <c r="B13" s="10" t="s">
        <v>28</v>
      </c>
      <c r="C13" s="5" t="s">
        <v>41</v>
      </c>
      <c r="D13" s="5" t="s">
        <v>35</v>
      </c>
      <c r="E13" s="5" t="s">
        <v>18</v>
      </c>
      <c r="F13" s="8" t="n">
        <v>1198233</v>
      </c>
      <c r="G13" s="7" t="n">
        <v>113247</v>
      </c>
      <c r="H13" s="7" t="n">
        <v>113247</v>
      </c>
      <c r="I13" s="8" t="n">
        <v>0</v>
      </c>
      <c r="J13" s="8" t="n">
        <v>16635</v>
      </c>
      <c r="K13" s="7" t="n">
        <v>1243085</v>
      </c>
      <c r="L13" s="9" t="n">
        <f aca="false">IF(F13&gt;0,H13/F13,0)</f>
        <v>0.0945116684317658</v>
      </c>
      <c r="M13" s="5" t="s">
        <v>42</v>
      </c>
    </row>
    <row r="14" customFormat="false" ht="15" hidden="false" customHeight="false" outlineLevel="0" collapsed="false">
      <c r="A14" s="10" t="n">
        <v>11</v>
      </c>
      <c r="B14" s="10" t="s">
        <v>28</v>
      </c>
      <c r="C14" s="5" t="s">
        <v>43</v>
      </c>
      <c r="D14" s="5" t="s">
        <v>21</v>
      </c>
      <c r="E14" s="5" t="s">
        <v>18</v>
      </c>
      <c r="F14" s="8" t="n">
        <v>996445</v>
      </c>
      <c r="G14" s="7" t="n">
        <v>509994</v>
      </c>
      <c r="H14" s="7" t="n">
        <v>552528</v>
      </c>
      <c r="I14" s="8" t="n">
        <v>13078</v>
      </c>
      <c r="J14" s="8" t="n">
        <v>14915</v>
      </c>
      <c r="K14" s="7" t="n">
        <v>544722</v>
      </c>
      <c r="L14" s="9" t="n">
        <f aca="false">IF(F14&gt;0,H14/F14,0)</f>
        <v>0.554499244815318</v>
      </c>
      <c r="M14" s="5" t="s">
        <v>44</v>
      </c>
    </row>
    <row r="15" customFormat="false" ht="15" hidden="false" customHeight="false" outlineLevel="0" collapsed="false">
      <c r="A15" s="10" t="n">
        <v>12</v>
      </c>
      <c r="B15" s="10" t="s">
        <v>28</v>
      </c>
      <c r="C15" s="5" t="s">
        <v>45</v>
      </c>
      <c r="D15" s="5" t="s">
        <v>17</v>
      </c>
      <c r="E15" s="5" t="s">
        <v>18</v>
      </c>
      <c r="F15" s="8" t="n">
        <v>603377</v>
      </c>
      <c r="G15" s="7" t="n">
        <v>37696</v>
      </c>
      <c r="H15" s="7" t="n">
        <v>352348</v>
      </c>
      <c r="I15" s="8" t="n">
        <v>4373</v>
      </c>
      <c r="J15" s="8" t="n">
        <v>4153</v>
      </c>
      <c r="K15" s="7" t="n">
        <v>1100806</v>
      </c>
      <c r="L15" s="9" t="n">
        <f aca="false">IF(F15&gt;0,H15/F15,0)</f>
        <v>0.583959945440413</v>
      </c>
      <c r="M15" s="5" t="s">
        <v>46</v>
      </c>
    </row>
    <row r="16" customFormat="false" ht="23.85" hidden="false" customHeight="false" outlineLevel="0" collapsed="false">
      <c r="A16" s="10" t="n">
        <v>13</v>
      </c>
      <c r="B16" s="10" t="s">
        <v>28</v>
      </c>
      <c r="C16" s="5" t="s">
        <v>47</v>
      </c>
      <c r="D16" s="5" t="s">
        <v>24</v>
      </c>
      <c r="E16" s="5" t="s">
        <v>18</v>
      </c>
      <c r="F16" s="8" t="n">
        <v>447338</v>
      </c>
      <c r="G16" s="7" t="n">
        <v>46383</v>
      </c>
      <c r="H16" s="7" t="n">
        <v>46383</v>
      </c>
      <c r="I16" s="8" t="n">
        <v>0</v>
      </c>
      <c r="J16" s="8" t="n">
        <v>4000</v>
      </c>
      <c r="K16" s="7" t="n">
        <v>17649</v>
      </c>
      <c r="L16" s="9" t="n">
        <f aca="false">IF(F16&gt;0,H16/F16,0)</f>
        <v>0.103686697754271</v>
      </c>
      <c r="M16" s="5" t="s">
        <v>48</v>
      </c>
    </row>
    <row r="17" customFormat="false" ht="23.85" hidden="false" customHeight="false" outlineLevel="0" collapsed="false">
      <c r="A17" s="10" t="n">
        <v>14</v>
      </c>
      <c r="B17" s="10" t="s">
        <v>28</v>
      </c>
      <c r="C17" s="5" t="s">
        <v>49</v>
      </c>
      <c r="D17" s="5" t="s">
        <v>24</v>
      </c>
      <c r="E17" s="5" t="s">
        <v>18</v>
      </c>
      <c r="F17" s="8" t="n">
        <v>425083</v>
      </c>
      <c r="G17" s="7" t="n">
        <v>91841</v>
      </c>
      <c r="H17" s="7" t="n">
        <v>141222</v>
      </c>
      <c r="I17" s="8" t="n">
        <v>1451</v>
      </c>
      <c r="J17" s="6" t="n">
        <v>35597</v>
      </c>
      <c r="K17" s="7" t="n">
        <v>231220</v>
      </c>
      <c r="L17" s="9" t="n">
        <f aca="false">IF(F17&gt;0,H17/F17,0)</f>
        <v>0.332222177786456</v>
      </c>
      <c r="M17" s="5" t="s">
        <v>50</v>
      </c>
    </row>
    <row r="18" customFormat="false" ht="15" hidden="false" customHeight="false" outlineLevel="0" collapsed="false">
      <c r="A18" s="10" t="n">
        <v>15</v>
      </c>
      <c r="B18" s="10" t="s">
        <v>28</v>
      </c>
      <c r="C18" s="5" t="s">
        <v>51</v>
      </c>
      <c r="D18" s="5" t="s">
        <v>21</v>
      </c>
      <c r="E18" s="5" t="s">
        <v>18</v>
      </c>
      <c r="F18" s="8" t="n">
        <v>377044</v>
      </c>
      <c r="G18" s="7" t="n">
        <v>114335</v>
      </c>
      <c r="H18" s="7" t="n">
        <v>114335</v>
      </c>
      <c r="I18" s="8" t="n">
        <v>22455</v>
      </c>
      <c r="J18" s="8" t="n">
        <v>5964</v>
      </c>
      <c r="K18" s="7" t="n">
        <v>518239</v>
      </c>
      <c r="L18" s="9" t="n">
        <f aca="false">IF(F18&gt;0,H18/F18,0)</f>
        <v>0.303240470608205</v>
      </c>
      <c r="M18" s="5" t="s">
        <v>52</v>
      </c>
    </row>
    <row r="19" customFormat="false" ht="23.85" hidden="false" customHeight="false" outlineLevel="0" collapsed="false">
      <c r="A19" s="10" t="n">
        <v>16</v>
      </c>
      <c r="B19" s="10" t="s">
        <v>28</v>
      </c>
      <c r="C19" s="5" t="s">
        <v>53</v>
      </c>
      <c r="D19" s="5" t="s">
        <v>24</v>
      </c>
      <c r="E19" s="5" t="s">
        <v>18</v>
      </c>
      <c r="F19" s="8" t="n">
        <v>366477</v>
      </c>
      <c r="G19" s="7" t="n">
        <v>70747</v>
      </c>
      <c r="H19" s="7" t="n">
        <v>119919</v>
      </c>
      <c r="I19" s="8" t="n">
        <v>12924</v>
      </c>
      <c r="J19" s="6" t="n">
        <v>140443</v>
      </c>
      <c r="K19" s="7" t="n">
        <v>275924</v>
      </c>
      <c r="L19" s="9" t="n">
        <f aca="false">IF(F19&gt;0,H19/F19,0)</f>
        <v>0.327221080722665</v>
      </c>
      <c r="M19" s="5" t="s">
        <v>54</v>
      </c>
    </row>
    <row r="20" customFormat="false" ht="23.85" hidden="false" customHeight="false" outlineLevel="0" collapsed="false">
      <c r="A20" s="10" t="n">
        <v>17</v>
      </c>
      <c r="B20" s="10" t="s">
        <v>28</v>
      </c>
      <c r="C20" s="5" t="s">
        <v>55</v>
      </c>
      <c r="D20" s="5" t="s">
        <v>35</v>
      </c>
      <c r="E20" s="5" t="s">
        <v>18</v>
      </c>
      <c r="F20" s="8" t="n">
        <v>322998</v>
      </c>
      <c r="G20" s="7" t="n">
        <v>55367</v>
      </c>
      <c r="H20" s="7" t="n">
        <v>67201</v>
      </c>
      <c r="I20" s="8" t="n">
        <v>0</v>
      </c>
      <c r="J20" s="8" t="n">
        <v>12105</v>
      </c>
      <c r="K20" s="7" t="n">
        <v>515623</v>
      </c>
      <c r="L20" s="9" t="n">
        <f aca="false">IF(F20&gt;0,H20/F20,0)</f>
        <v>0.208053919838513</v>
      </c>
      <c r="M20" s="5" t="s">
        <v>56</v>
      </c>
    </row>
    <row r="21" customFormat="false" ht="23.85" hidden="false" customHeight="false" outlineLevel="0" collapsed="false">
      <c r="A21" s="10" t="n">
        <v>18</v>
      </c>
      <c r="B21" s="10" t="s">
        <v>28</v>
      </c>
      <c r="C21" s="5" t="s">
        <v>57</v>
      </c>
      <c r="D21" s="5" t="s">
        <v>35</v>
      </c>
      <c r="E21" s="5" t="s">
        <v>18</v>
      </c>
      <c r="F21" s="8" t="n">
        <v>242326</v>
      </c>
      <c r="G21" s="7" t="n">
        <v>44612</v>
      </c>
      <c r="H21" s="7" t="n">
        <v>67887</v>
      </c>
      <c r="I21" s="8" t="n">
        <v>0</v>
      </c>
      <c r="J21" s="6" t="n">
        <v>31689</v>
      </c>
      <c r="K21" s="7" t="n">
        <v>146057</v>
      </c>
      <c r="L21" s="9" t="n">
        <f aca="false">IF(F21&gt;0,H21/F21,0)</f>
        <v>0.280147404735769</v>
      </c>
      <c r="M21" s="5" t="s">
        <v>58</v>
      </c>
    </row>
    <row r="22" customFormat="false" ht="23.85" hidden="false" customHeight="false" outlineLevel="0" collapsed="false">
      <c r="A22" s="10" t="n">
        <v>19</v>
      </c>
      <c r="B22" s="10" t="s">
        <v>28</v>
      </c>
      <c r="C22" s="5" t="s">
        <v>59</v>
      </c>
      <c r="D22" s="5" t="s">
        <v>35</v>
      </c>
      <c r="E22" s="5" t="s">
        <v>18</v>
      </c>
      <c r="F22" s="8" t="n">
        <v>223995</v>
      </c>
      <c r="G22" s="7" t="n">
        <v>2895</v>
      </c>
      <c r="H22" s="7" t="n">
        <v>11895</v>
      </c>
      <c r="I22" s="8" t="n">
        <v>0</v>
      </c>
      <c r="J22" s="8" t="n">
        <v>4210</v>
      </c>
      <c r="K22" s="7" t="n">
        <v>116208</v>
      </c>
      <c r="L22" s="9" t="n">
        <f aca="false">IF(F22&gt;0,H22/F22,0)</f>
        <v>0.0531038639255341</v>
      </c>
      <c r="M22" s="5" t="s">
        <v>60</v>
      </c>
    </row>
    <row r="23" customFormat="false" ht="23.85" hidden="false" customHeight="false" outlineLevel="0" collapsed="false">
      <c r="A23" s="10" t="n">
        <v>20</v>
      </c>
      <c r="B23" s="10" t="s">
        <v>28</v>
      </c>
      <c r="C23" s="5" t="s">
        <v>61</v>
      </c>
      <c r="D23" s="5" t="s">
        <v>35</v>
      </c>
      <c r="E23" s="5" t="s">
        <v>18</v>
      </c>
      <c r="F23" s="6" t="n">
        <v>198938</v>
      </c>
      <c r="G23" s="7" t="n">
        <v>14066</v>
      </c>
      <c r="H23" s="7" t="n">
        <v>14066</v>
      </c>
      <c r="I23" s="8" t="n">
        <v>0</v>
      </c>
      <c r="J23" s="8" t="n">
        <v>4750</v>
      </c>
      <c r="K23" s="7" t="n">
        <v>172439</v>
      </c>
      <c r="L23" s="9" t="n">
        <f aca="false">IF(F23&gt;0,H23/F23,0)</f>
        <v>0.0707054459178236</v>
      </c>
      <c r="M23" s="5" t="s">
        <v>62</v>
      </c>
    </row>
    <row r="24" customFormat="false" ht="15" hidden="false" customHeight="false" outlineLevel="0" collapsed="false">
      <c r="A24" s="11" t="n">
        <v>21</v>
      </c>
      <c r="B24" s="11" t="s">
        <v>63</v>
      </c>
      <c r="C24" s="5" t="s">
        <v>64</v>
      </c>
      <c r="D24" s="5" t="s">
        <v>21</v>
      </c>
      <c r="E24" s="5" t="s">
        <v>18</v>
      </c>
      <c r="F24" s="8" t="n">
        <v>1589145</v>
      </c>
      <c r="G24" s="7" t="n">
        <v>466549</v>
      </c>
      <c r="H24" s="7" t="n">
        <v>554076</v>
      </c>
      <c r="I24" s="8" t="n">
        <v>13843</v>
      </c>
      <c r="J24" s="6" t="n">
        <v>44036</v>
      </c>
      <c r="K24" s="7" t="n">
        <v>982215</v>
      </c>
      <c r="L24" s="9" t="n">
        <f aca="false">IF(F24&gt;0,H24/F24,0)</f>
        <v>0.348662960271089</v>
      </c>
      <c r="M24" s="5" t="s">
        <v>65</v>
      </c>
    </row>
    <row r="25" customFormat="false" ht="15" hidden="false" customHeight="false" outlineLevel="0" collapsed="false">
      <c r="A25" s="11" t="n">
        <v>22</v>
      </c>
      <c r="B25" s="11" t="s">
        <v>63</v>
      </c>
      <c r="C25" s="5" t="s">
        <v>66</v>
      </c>
      <c r="D25" s="5" t="s">
        <v>21</v>
      </c>
      <c r="E25" s="5" t="s">
        <v>18</v>
      </c>
      <c r="F25" s="8" t="n">
        <v>1399848</v>
      </c>
      <c r="G25" s="7" t="n">
        <v>725137</v>
      </c>
      <c r="H25" s="7" t="n">
        <v>781332</v>
      </c>
      <c r="I25" s="8" t="n">
        <v>25958</v>
      </c>
      <c r="J25" s="8" t="n">
        <v>7578</v>
      </c>
      <c r="K25" s="7" t="n">
        <v>787098</v>
      </c>
      <c r="L25" s="9" t="n">
        <f aca="false">IF(F25&gt;0,H25/F25,0)</f>
        <v>0.558154885387556</v>
      </c>
      <c r="M25" s="5" t="s">
        <v>67</v>
      </c>
    </row>
    <row r="26" customFormat="false" ht="23.85" hidden="false" customHeight="false" outlineLevel="0" collapsed="false">
      <c r="A26" s="11" t="n">
        <v>23</v>
      </c>
      <c r="B26" s="11" t="s">
        <v>63</v>
      </c>
      <c r="C26" s="5" t="s">
        <v>68</v>
      </c>
      <c r="D26" s="5" t="s">
        <v>21</v>
      </c>
      <c r="E26" s="5" t="s">
        <v>18</v>
      </c>
      <c r="F26" s="8" t="n">
        <v>896893</v>
      </c>
      <c r="G26" s="7" t="n">
        <v>353915</v>
      </c>
      <c r="H26" s="7" t="n">
        <v>382574</v>
      </c>
      <c r="I26" s="8" t="n">
        <v>18099</v>
      </c>
      <c r="J26" s="8" t="n">
        <v>8173</v>
      </c>
      <c r="K26" s="7" t="n">
        <v>1184277</v>
      </c>
      <c r="L26" s="9" t="n">
        <f aca="false">IF(F26&gt;0,H26/F26,0)</f>
        <v>0.426554784126981</v>
      </c>
      <c r="M26" s="5" t="s">
        <v>69</v>
      </c>
    </row>
    <row r="27" customFormat="false" ht="15" hidden="false" customHeight="false" outlineLevel="0" collapsed="false">
      <c r="A27" s="11" t="n">
        <v>24</v>
      </c>
      <c r="B27" s="11" t="s">
        <v>63</v>
      </c>
      <c r="C27" s="5" t="s">
        <v>70</v>
      </c>
      <c r="D27" s="5" t="s">
        <v>17</v>
      </c>
      <c r="E27" s="5" t="s">
        <v>18</v>
      </c>
      <c r="F27" s="8" t="n">
        <v>499230</v>
      </c>
      <c r="G27" s="7" t="n">
        <v>185189</v>
      </c>
      <c r="H27" s="7" t="n">
        <v>190833</v>
      </c>
      <c r="I27" s="8" t="n">
        <v>0</v>
      </c>
      <c r="J27" s="8" t="n">
        <v>7112</v>
      </c>
      <c r="K27" s="7" t="n">
        <v>680890</v>
      </c>
      <c r="L27" s="9" t="n">
        <f aca="false">IF(F27&gt;0,H27/F27,0)</f>
        <v>0.382254672195181</v>
      </c>
      <c r="M27" s="5" t="s">
        <v>71</v>
      </c>
    </row>
    <row r="28" customFormat="false" ht="23.85" hidden="false" customHeight="false" outlineLevel="0" collapsed="false">
      <c r="A28" s="11" t="n">
        <v>25</v>
      </c>
      <c r="B28" s="11" t="s">
        <v>63</v>
      </c>
      <c r="C28" s="5" t="s">
        <v>72</v>
      </c>
      <c r="D28" s="5" t="s">
        <v>17</v>
      </c>
      <c r="E28" s="5" t="s">
        <v>18</v>
      </c>
      <c r="F28" s="8" t="n">
        <v>433330</v>
      </c>
      <c r="G28" s="7" t="n">
        <v>97620</v>
      </c>
      <c r="H28" s="7" t="n">
        <v>97620</v>
      </c>
      <c r="I28" s="8" t="n">
        <v>28548</v>
      </c>
      <c r="J28" s="8" t="n">
        <v>23594</v>
      </c>
      <c r="K28" s="7" t="n">
        <v>558367</v>
      </c>
      <c r="L28" s="9" t="n">
        <f aca="false">IF(F28&gt;0,H28/F28,0)</f>
        <v>0.225278655989661</v>
      </c>
      <c r="M28" s="5" t="s">
        <v>73</v>
      </c>
    </row>
    <row r="29" customFormat="false" ht="23.85" hidden="false" customHeight="false" outlineLevel="0" collapsed="false">
      <c r="A29" s="11" t="n">
        <v>26</v>
      </c>
      <c r="B29" s="11" t="s">
        <v>63</v>
      </c>
      <c r="C29" s="5" t="s">
        <v>74</v>
      </c>
      <c r="D29" s="5" t="s">
        <v>17</v>
      </c>
      <c r="E29" s="5" t="s">
        <v>18</v>
      </c>
      <c r="F29" s="8" t="n">
        <v>277843</v>
      </c>
      <c r="G29" s="7" t="n">
        <v>43193</v>
      </c>
      <c r="H29" s="7" t="n">
        <v>46980</v>
      </c>
      <c r="I29" s="8" t="n">
        <v>2118</v>
      </c>
      <c r="J29" s="8" t="n">
        <v>700</v>
      </c>
      <c r="K29" s="7" t="n">
        <v>81027</v>
      </c>
      <c r="L29" s="9" t="n">
        <f aca="false">IF(F29&gt;0,H29/F29,0)</f>
        <v>0.169088298067614</v>
      </c>
      <c r="M29" s="5" t="s">
        <v>75</v>
      </c>
    </row>
    <row r="30" customFormat="false" ht="23.85" hidden="false" customHeight="false" outlineLevel="0" collapsed="false">
      <c r="A30" s="11" t="n">
        <v>27</v>
      </c>
      <c r="B30" s="11" t="s">
        <v>63</v>
      </c>
      <c r="C30" s="5" t="s">
        <v>76</v>
      </c>
      <c r="D30" s="5" t="s">
        <v>35</v>
      </c>
      <c r="E30" s="5" t="s">
        <v>18</v>
      </c>
      <c r="F30" s="8" t="n">
        <v>276968</v>
      </c>
      <c r="G30" s="7" t="n">
        <v>71684</v>
      </c>
      <c r="H30" s="7" t="n">
        <v>71684</v>
      </c>
      <c r="I30" s="8" t="n">
        <v>401</v>
      </c>
      <c r="J30" s="8" t="n">
        <v>5020</v>
      </c>
      <c r="K30" s="7" t="n">
        <v>181894</v>
      </c>
      <c r="L30" s="9" t="n">
        <f aca="false">IF(F30&gt;0,H30/F30,0)</f>
        <v>0.25881690303573</v>
      </c>
      <c r="M30" s="5" t="s">
        <v>77</v>
      </c>
    </row>
    <row r="31" customFormat="false" ht="23.85" hidden="false" customHeight="false" outlineLevel="0" collapsed="false">
      <c r="A31" s="11" t="n">
        <v>28</v>
      </c>
      <c r="B31" s="11" t="s">
        <v>63</v>
      </c>
      <c r="C31" s="5" t="s">
        <v>78</v>
      </c>
      <c r="D31" s="5" t="s">
        <v>35</v>
      </c>
      <c r="E31" s="5" t="s">
        <v>18</v>
      </c>
      <c r="F31" s="6" t="n">
        <v>195485</v>
      </c>
      <c r="G31" s="7" t="n">
        <v>22145</v>
      </c>
      <c r="H31" s="7" t="n">
        <v>22145</v>
      </c>
      <c r="I31" s="8" t="n">
        <v>15368</v>
      </c>
      <c r="J31" s="8" t="n">
        <v>1258</v>
      </c>
      <c r="K31" s="7" t="n">
        <v>514191</v>
      </c>
      <c r="L31" s="9" t="n">
        <f aca="false">IF(F31&gt;0,H31/F31,0)</f>
        <v>0.113282349029337</v>
      </c>
      <c r="M31" s="5" t="s">
        <v>79</v>
      </c>
    </row>
    <row r="32" customFormat="false" ht="23.85" hidden="false" customHeight="false" outlineLevel="0" collapsed="false">
      <c r="A32" s="11" t="n">
        <v>29</v>
      </c>
      <c r="B32" s="11" t="s">
        <v>63</v>
      </c>
      <c r="C32" s="5" t="s">
        <v>80</v>
      </c>
      <c r="D32" s="5" t="s">
        <v>35</v>
      </c>
      <c r="E32" s="5" t="s">
        <v>18</v>
      </c>
      <c r="F32" s="6" t="n">
        <v>189787</v>
      </c>
      <c r="G32" s="7" t="n">
        <v>11800</v>
      </c>
      <c r="H32" s="7" t="n">
        <v>11800</v>
      </c>
      <c r="I32" s="8" t="n">
        <v>162</v>
      </c>
      <c r="J32" s="8" t="n">
        <v>4441</v>
      </c>
      <c r="K32" s="7" t="n">
        <v>107962</v>
      </c>
      <c r="L32" s="9" t="n">
        <f aca="false">IF(F32&gt;0,H32/F32,0)</f>
        <v>0.0621749645655393</v>
      </c>
      <c r="M32" s="5" t="s">
        <v>81</v>
      </c>
    </row>
    <row r="33" customFormat="false" ht="23.85" hidden="false" customHeight="false" outlineLevel="0" collapsed="false">
      <c r="A33" s="11" t="n">
        <v>30</v>
      </c>
      <c r="B33" s="11" t="s">
        <v>63</v>
      </c>
      <c r="C33" s="5" t="s">
        <v>82</v>
      </c>
      <c r="D33" s="5" t="s">
        <v>35</v>
      </c>
      <c r="E33" s="5" t="s">
        <v>18</v>
      </c>
      <c r="F33" s="6" t="n">
        <v>186905</v>
      </c>
      <c r="G33" s="7" t="n">
        <v>45023</v>
      </c>
      <c r="H33" s="7" t="n">
        <v>53446</v>
      </c>
      <c r="I33" s="8" t="n">
        <v>13105</v>
      </c>
      <c r="J33" s="8" t="n">
        <v>0</v>
      </c>
      <c r="K33" s="7" t="n">
        <v>275862</v>
      </c>
      <c r="L33" s="9" t="n">
        <f aca="false">IF(F33&gt;0,H33/F33,0)</f>
        <v>0.285952756748081</v>
      </c>
      <c r="M33" s="5" t="s">
        <v>83</v>
      </c>
    </row>
    <row r="34" customFormat="false" ht="23.85" hidden="false" customHeight="false" outlineLevel="0" collapsed="false">
      <c r="A34" s="11" t="n">
        <v>31</v>
      </c>
      <c r="B34" s="11" t="s">
        <v>63</v>
      </c>
      <c r="C34" s="5" t="s">
        <v>84</v>
      </c>
      <c r="D34" s="5" t="s">
        <v>24</v>
      </c>
      <c r="E34" s="5" t="s">
        <v>18</v>
      </c>
      <c r="F34" s="6" t="n">
        <v>160397</v>
      </c>
      <c r="G34" s="7" t="n">
        <v>10533</v>
      </c>
      <c r="H34" s="7" t="n">
        <v>13033</v>
      </c>
      <c r="I34" s="8" t="n">
        <v>11450</v>
      </c>
      <c r="J34" s="6" t="n">
        <v>78863</v>
      </c>
      <c r="K34" s="7" t="n">
        <v>43117</v>
      </c>
      <c r="L34" s="9" t="n">
        <f aca="false">IF(F34&gt;0,H34/F34,0)</f>
        <v>0.0812546369321122</v>
      </c>
      <c r="M34" s="5" t="s">
        <v>85</v>
      </c>
    </row>
    <row r="35" customFormat="false" ht="23.85" hidden="false" customHeight="false" outlineLevel="0" collapsed="false">
      <c r="A35" s="12" t="n">
        <v>32</v>
      </c>
      <c r="B35" s="12" t="s">
        <v>86</v>
      </c>
      <c r="C35" s="5" t="s">
        <v>87</v>
      </c>
      <c r="D35" s="5" t="s">
        <v>30</v>
      </c>
      <c r="E35" s="5" t="s">
        <v>88</v>
      </c>
      <c r="F35" s="6" t="n">
        <v>3697017</v>
      </c>
      <c r="G35" s="7" t="n">
        <v>214781</v>
      </c>
      <c r="H35" s="7" t="n">
        <v>336922</v>
      </c>
      <c r="I35" s="8" t="n">
        <v>0</v>
      </c>
      <c r="J35" s="6" t="n">
        <v>64729</v>
      </c>
      <c r="K35" s="7" t="n">
        <v>7410382</v>
      </c>
      <c r="L35" s="9" t="n">
        <f aca="false">IF(F35&gt;0,H35/F35,0)</f>
        <v>0.0911334732840017</v>
      </c>
      <c r="M35" s="5" t="s">
        <v>89</v>
      </c>
    </row>
    <row r="36" customFormat="false" ht="23.85" hidden="false" customHeight="false" outlineLevel="0" collapsed="false">
      <c r="A36" s="12" t="n">
        <v>33</v>
      </c>
      <c r="B36" s="12" t="s">
        <v>86</v>
      </c>
      <c r="C36" s="5" t="s">
        <v>90</v>
      </c>
      <c r="D36" s="5" t="s">
        <v>21</v>
      </c>
      <c r="E36" s="5" t="s">
        <v>18</v>
      </c>
      <c r="F36" s="6" t="n">
        <v>2482625</v>
      </c>
      <c r="G36" s="7" t="n">
        <v>918308</v>
      </c>
      <c r="H36" s="7" t="n">
        <v>975506</v>
      </c>
      <c r="I36" s="8" t="n">
        <v>7610</v>
      </c>
      <c r="J36" s="8" t="n">
        <v>2554</v>
      </c>
      <c r="K36" s="7" t="n">
        <v>4295933</v>
      </c>
      <c r="L36" s="9" t="n">
        <f aca="false">IF(F36&gt;0,H36/F36,0)</f>
        <v>0.392933286340063</v>
      </c>
      <c r="M36" s="5" t="s">
        <v>91</v>
      </c>
    </row>
    <row r="37" customFormat="false" ht="15" hidden="false" customHeight="false" outlineLevel="0" collapsed="false">
      <c r="A37" s="12" t="n">
        <v>34</v>
      </c>
      <c r="B37" s="12" t="s">
        <v>86</v>
      </c>
      <c r="C37" s="5" t="s">
        <v>92</v>
      </c>
      <c r="D37" s="5" t="s">
        <v>21</v>
      </c>
      <c r="E37" s="5" t="s">
        <v>18</v>
      </c>
      <c r="F37" s="6" t="n">
        <v>2084910</v>
      </c>
      <c r="G37" s="7" t="n">
        <v>614190</v>
      </c>
      <c r="H37" s="7" t="n">
        <v>709254</v>
      </c>
      <c r="I37" s="8" t="n">
        <v>29913</v>
      </c>
      <c r="J37" s="8" t="n">
        <v>14785</v>
      </c>
      <c r="K37" s="7" t="n">
        <v>2150339</v>
      </c>
      <c r="L37" s="9" t="n">
        <f aca="false">IF(F37&gt;0,H37/F37,0)</f>
        <v>0.340184468394319</v>
      </c>
      <c r="M37" s="5" t="s">
        <v>93</v>
      </c>
    </row>
    <row r="38" customFormat="false" ht="23.85" hidden="false" customHeight="false" outlineLevel="0" collapsed="false">
      <c r="A38" s="12" t="n">
        <v>35</v>
      </c>
      <c r="B38" s="12" t="s">
        <v>86</v>
      </c>
      <c r="C38" s="5" t="s">
        <v>94</v>
      </c>
      <c r="D38" s="5" t="s">
        <v>35</v>
      </c>
      <c r="E38" s="5" t="s">
        <v>18</v>
      </c>
      <c r="F38" s="8" t="n">
        <v>1992938</v>
      </c>
      <c r="G38" s="7" t="n">
        <v>8230</v>
      </c>
      <c r="H38" s="7" t="n">
        <v>8936</v>
      </c>
      <c r="I38" s="6" t="n">
        <v>197585</v>
      </c>
      <c r="J38" s="8" t="n">
        <v>24838</v>
      </c>
      <c r="K38" s="7" t="n">
        <v>1507818</v>
      </c>
      <c r="L38" s="9" t="n">
        <f aca="false">IF(F38&gt;0,H38/F38,0)</f>
        <v>0.00448383241224765</v>
      </c>
      <c r="M38" s="5" t="s">
        <v>95</v>
      </c>
    </row>
    <row r="39" customFormat="false" ht="23.85" hidden="false" customHeight="false" outlineLevel="0" collapsed="false">
      <c r="A39" s="12" t="n">
        <v>36</v>
      </c>
      <c r="B39" s="12" t="s">
        <v>86</v>
      </c>
      <c r="C39" s="5" t="s">
        <v>96</v>
      </c>
      <c r="D39" s="5" t="s">
        <v>30</v>
      </c>
      <c r="E39" s="5" t="s">
        <v>88</v>
      </c>
      <c r="F39" s="8" t="n">
        <v>1443384</v>
      </c>
      <c r="G39" s="7" t="n">
        <v>5050</v>
      </c>
      <c r="H39" s="7" t="n">
        <v>31866</v>
      </c>
      <c r="I39" s="8" t="n">
        <v>58</v>
      </c>
      <c r="J39" s="6" t="n">
        <v>61473</v>
      </c>
      <c r="K39" s="7" t="n">
        <v>131120</v>
      </c>
      <c r="L39" s="9" t="n">
        <f aca="false">IF(F39&gt;0,H39/F39,0)</f>
        <v>0.0220772850468067</v>
      </c>
      <c r="M39" s="5" t="s">
        <v>97</v>
      </c>
    </row>
    <row r="40" customFormat="false" ht="23.85" hidden="false" customHeight="false" outlineLevel="0" collapsed="false">
      <c r="A40" s="12" t="n">
        <v>37</v>
      </c>
      <c r="B40" s="12" t="s">
        <v>86</v>
      </c>
      <c r="C40" s="5" t="s">
        <v>98</v>
      </c>
      <c r="D40" s="5" t="s">
        <v>35</v>
      </c>
      <c r="E40" s="5" t="s">
        <v>18</v>
      </c>
      <c r="F40" s="8" t="n">
        <v>1111392</v>
      </c>
      <c r="G40" s="7" t="n">
        <v>168205</v>
      </c>
      <c r="H40" s="7" t="n">
        <v>168205</v>
      </c>
      <c r="I40" s="8" t="n">
        <v>49202</v>
      </c>
      <c r="J40" s="8" t="n">
        <v>10909</v>
      </c>
      <c r="K40" s="7" t="n">
        <v>1242471</v>
      </c>
      <c r="L40" s="9" t="n">
        <f aca="false">IF(F40&gt;0,H40/F40,0)</f>
        <v>0.151346239670611</v>
      </c>
      <c r="M40" s="5" t="s">
        <v>99</v>
      </c>
    </row>
    <row r="41" customFormat="false" ht="23.85" hidden="false" customHeight="false" outlineLevel="0" collapsed="false">
      <c r="A41" s="12" t="n">
        <v>38</v>
      </c>
      <c r="B41" s="12" t="s">
        <v>86</v>
      </c>
      <c r="C41" s="5" t="s">
        <v>100</v>
      </c>
      <c r="D41" s="5" t="s">
        <v>21</v>
      </c>
      <c r="E41" s="5" t="s">
        <v>18</v>
      </c>
      <c r="F41" s="8" t="n">
        <v>1073795</v>
      </c>
      <c r="G41" s="7" t="n">
        <v>316386</v>
      </c>
      <c r="H41" s="7" t="n">
        <v>350206</v>
      </c>
      <c r="I41" s="6" t="n">
        <v>50121</v>
      </c>
      <c r="J41" s="8" t="n">
        <v>2554</v>
      </c>
      <c r="K41" s="7" t="n">
        <v>1713216</v>
      </c>
      <c r="L41" s="9" t="n">
        <f aca="false">IF(F41&gt;0,H41/F41,0)</f>
        <v>0.32613860187466</v>
      </c>
      <c r="M41" s="5" t="s">
        <v>101</v>
      </c>
    </row>
    <row r="42" customFormat="false" ht="35.05" hidden="false" customHeight="false" outlineLevel="0" collapsed="false">
      <c r="A42" s="12" t="n">
        <v>39</v>
      </c>
      <c r="B42" s="12" t="s">
        <v>86</v>
      </c>
      <c r="C42" s="5" t="s">
        <v>102</v>
      </c>
      <c r="D42" s="5" t="s">
        <v>24</v>
      </c>
      <c r="E42" s="5" t="s">
        <v>18</v>
      </c>
      <c r="F42" s="8" t="n">
        <v>484402</v>
      </c>
      <c r="G42" s="7" t="n">
        <v>16020</v>
      </c>
      <c r="H42" s="7" t="n">
        <v>26020</v>
      </c>
      <c r="I42" s="6" t="n">
        <v>53241</v>
      </c>
      <c r="J42" s="8" t="n">
        <v>8650</v>
      </c>
      <c r="K42" s="7" t="n">
        <v>188422</v>
      </c>
      <c r="L42" s="9" t="n">
        <f aca="false">IF(F42&gt;0,H42/F42,0)</f>
        <v>0.0537157154594737</v>
      </c>
      <c r="M42" s="5" t="s">
        <v>103</v>
      </c>
    </row>
    <row r="43" customFormat="false" ht="23.85" hidden="false" customHeight="false" outlineLevel="0" collapsed="false">
      <c r="A43" s="12" t="n">
        <v>40</v>
      </c>
      <c r="B43" s="12" t="s">
        <v>86</v>
      </c>
      <c r="C43" s="5" t="s">
        <v>104</v>
      </c>
      <c r="D43" s="5" t="s">
        <v>24</v>
      </c>
      <c r="E43" s="5" t="s">
        <v>18</v>
      </c>
      <c r="F43" s="8" t="n">
        <v>440919</v>
      </c>
      <c r="G43" s="7" t="n">
        <v>177642</v>
      </c>
      <c r="H43" s="7" t="n">
        <v>220878</v>
      </c>
      <c r="I43" s="8" t="n">
        <v>32281</v>
      </c>
      <c r="J43" s="6" t="n">
        <v>260766</v>
      </c>
      <c r="K43" s="7" t="n">
        <v>195042</v>
      </c>
      <c r="L43" s="9" t="n">
        <f aca="false">IF(F43&gt;0,H43/F43,0)</f>
        <v>0.500949153926231</v>
      </c>
      <c r="M43" s="5" t="s">
        <v>105</v>
      </c>
    </row>
    <row r="44" customFormat="false" ht="23.85" hidden="false" customHeight="false" outlineLevel="0" collapsed="false">
      <c r="A44" s="12" t="n">
        <v>41</v>
      </c>
      <c r="B44" s="12" t="s">
        <v>86</v>
      </c>
      <c r="C44" s="5" t="s">
        <v>106</v>
      </c>
      <c r="D44" s="5" t="s">
        <v>35</v>
      </c>
      <c r="E44" s="5" t="s">
        <v>18</v>
      </c>
      <c r="F44" s="8" t="n">
        <v>286776</v>
      </c>
      <c r="G44" s="7" t="n">
        <v>4115</v>
      </c>
      <c r="H44" s="7" t="n">
        <v>4115</v>
      </c>
      <c r="I44" s="8" t="n">
        <v>0</v>
      </c>
      <c r="J44" s="6" t="n">
        <v>62767</v>
      </c>
      <c r="K44" s="7" t="n">
        <v>458952</v>
      </c>
      <c r="L44" s="9" t="n">
        <f aca="false">IF(F44&gt;0,H44/F44,0)</f>
        <v>0.0143491784528691</v>
      </c>
      <c r="M44" s="5" t="s">
        <v>107</v>
      </c>
    </row>
    <row r="45" customFormat="false" ht="15" hidden="false" customHeight="false" outlineLevel="0" collapsed="false">
      <c r="A45" s="12" t="n">
        <v>42</v>
      </c>
      <c r="B45" s="12" t="s">
        <v>86</v>
      </c>
      <c r="C45" s="5" t="s">
        <v>108</v>
      </c>
      <c r="D45" s="5" t="s">
        <v>35</v>
      </c>
      <c r="E45" s="5" t="s">
        <v>18</v>
      </c>
      <c r="F45" s="6" t="n">
        <v>121522</v>
      </c>
      <c r="G45" s="7" t="n">
        <v>14690</v>
      </c>
      <c r="H45" s="7" t="n">
        <v>38460</v>
      </c>
      <c r="I45" s="8" t="n">
        <v>0</v>
      </c>
      <c r="J45" s="8" t="n">
        <v>2851</v>
      </c>
      <c r="K45" s="7" t="n">
        <v>90568</v>
      </c>
      <c r="L45" s="9" t="n">
        <f aca="false">IF(F45&gt;0,H45/F45,0)</f>
        <v>0.316485903786969</v>
      </c>
      <c r="M45" s="5" t="s">
        <v>109</v>
      </c>
    </row>
    <row r="46" customFormat="false" ht="23.85" hidden="false" customHeight="false" outlineLevel="0" collapsed="false">
      <c r="A46" s="13" t="n">
        <v>43</v>
      </c>
      <c r="B46" s="13" t="s">
        <v>110</v>
      </c>
      <c r="C46" s="5" t="s">
        <v>111</v>
      </c>
      <c r="D46" s="5" t="s">
        <v>30</v>
      </c>
      <c r="E46" s="5" t="s">
        <v>112</v>
      </c>
      <c r="F46" s="6" t="n">
        <v>9029642</v>
      </c>
      <c r="G46" s="7" t="n">
        <v>12205</v>
      </c>
      <c r="H46" s="7" t="n">
        <v>12295</v>
      </c>
      <c r="I46" s="8" t="n">
        <v>0</v>
      </c>
      <c r="J46" s="6" t="n">
        <v>151784</v>
      </c>
      <c r="K46" s="7" t="n">
        <v>8219784</v>
      </c>
      <c r="L46" s="9" t="n">
        <f aca="false">IF(F46&gt;0,H46/F46,0)</f>
        <v>0.00136162651852643</v>
      </c>
      <c r="M46" s="5" t="s">
        <v>113</v>
      </c>
    </row>
    <row r="47" customFormat="false" ht="23.85" hidden="false" customHeight="false" outlineLevel="0" collapsed="false">
      <c r="A47" s="13" t="n">
        <v>44</v>
      </c>
      <c r="B47" s="13" t="s">
        <v>110</v>
      </c>
      <c r="C47" s="5" t="s">
        <v>114</v>
      </c>
      <c r="D47" s="5" t="s">
        <v>30</v>
      </c>
      <c r="E47" s="5" t="s">
        <v>88</v>
      </c>
      <c r="F47" s="6" t="n">
        <v>6082191</v>
      </c>
      <c r="G47" s="7" t="n">
        <v>221939</v>
      </c>
      <c r="H47" s="7" t="n">
        <v>521025</v>
      </c>
      <c r="I47" s="8" t="n">
        <v>0</v>
      </c>
      <c r="J47" s="6" t="n">
        <v>73597</v>
      </c>
      <c r="K47" s="7" t="n">
        <v>3872464</v>
      </c>
      <c r="L47" s="9" t="n">
        <f aca="false">IF(F47&gt;0,H47/F47,0)</f>
        <v>0.0856640312676797</v>
      </c>
      <c r="M47" s="5" t="s">
        <v>115</v>
      </c>
    </row>
    <row r="48" customFormat="false" ht="23.85" hidden="false" customHeight="false" outlineLevel="0" collapsed="false">
      <c r="A48" s="13" t="n">
        <v>45</v>
      </c>
      <c r="B48" s="13" t="s">
        <v>110</v>
      </c>
      <c r="C48" s="5" t="s">
        <v>116</v>
      </c>
      <c r="D48" s="5" t="s">
        <v>30</v>
      </c>
      <c r="E48" s="5" t="s">
        <v>88</v>
      </c>
      <c r="F48" s="6" t="n">
        <v>4162080</v>
      </c>
      <c r="G48" s="7" t="n">
        <v>39100</v>
      </c>
      <c r="H48" s="7" t="n">
        <v>55234</v>
      </c>
      <c r="I48" s="8" t="n">
        <v>0</v>
      </c>
      <c r="J48" s="6" t="n">
        <v>590833</v>
      </c>
      <c r="K48" s="7" t="n">
        <v>3861412</v>
      </c>
      <c r="L48" s="9" t="n">
        <f aca="false">IF(F48&gt;0,H48/F48,0)</f>
        <v>0.0132707684619229</v>
      </c>
      <c r="M48" s="5" t="s">
        <v>117</v>
      </c>
    </row>
    <row r="49" customFormat="false" ht="15" hidden="false" customHeight="false" outlineLevel="0" collapsed="false">
      <c r="A49" s="13" t="n">
        <v>46</v>
      </c>
      <c r="B49" s="13" t="s">
        <v>110</v>
      </c>
      <c r="C49" s="5" t="s">
        <v>118</v>
      </c>
      <c r="D49" s="5" t="s">
        <v>21</v>
      </c>
      <c r="E49" s="5" t="s">
        <v>18</v>
      </c>
      <c r="F49" s="6" t="n">
        <v>3326443</v>
      </c>
      <c r="G49" s="7" t="n">
        <v>852654</v>
      </c>
      <c r="H49" s="7" t="n">
        <v>1131405</v>
      </c>
      <c r="I49" s="8" t="n">
        <v>13985</v>
      </c>
      <c r="J49" s="6" t="n">
        <v>66273</v>
      </c>
      <c r="K49" s="7" t="n">
        <v>5044102</v>
      </c>
      <c r="L49" s="9" t="n">
        <f aca="false">IF(F49&gt;0,H49/F49,0)</f>
        <v>0.340124571501751</v>
      </c>
      <c r="M49" s="5" t="s">
        <v>119</v>
      </c>
    </row>
    <row r="50" customFormat="false" ht="15" hidden="false" customHeight="false" outlineLevel="0" collapsed="false">
      <c r="A50" s="13" t="n">
        <v>47</v>
      </c>
      <c r="B50" s="13" t="s">
        <v>110</v>
      </c>
      <c r="C50" s="5" t="s">
        <v>120</v>
      </c>
      <c r="D50" s="5" t="s">
        <v>21</v>
      </c>
      <c r="E50" s="5" t="s">
        <v>18</v>
      </c>
      <c r="F50" s="6" t="n">
        <v>2711082</v>
      </c>
      <c r="G50" s="7" t="n">
        <v>1024067</v>
      </c>
      <c r="H50" s="7" t="n">
        <v>1036189</v>
      </c>
      <c r="I50" s="8" t="n">
        <v>26295</v>
      </c>
      <c r="J50" s="8" t="n">
        <v>20986</v>
      </c>
      <c r="K50" s="7" t="n">
        <v>4487917</v>
      </c>
      <c r="L50" s="9" t="n">
        <f aca="false">IF(F50&gt;0,H50/F50,0)</f>
        <v>0.382204964659866</v>
      </c>
      <c r="M50" s="5" t="s">
        <v>121</v>
      </c>
    </row>
    <row r="51" customFormat="false" ht="23.85" hidden="false" customHeight="false" outlineLevel="0" collapsed="false">
      <c r="A51" s="13" t="n">
        <v>48</v>
      </c>
      <c r="B51" s="13" t="s">
        <v>110</v>
      </c>
      <c r="C51" s="5" t="s">
        <v>122</v>
      </c>
      <c r="D51" s="5" t="s">
        <v>21</v>
      </c>
      <c r="E51" s="5" t="s">
        <v>18</v>
      </c>
      <c r="F51" s="6" t="n">
        <v>2619221</v>
      </c>
      <c r="G51" s="7" t="n">
        <v>1248721</v>
      </c>
      <c r="H51" s="7" t="n">
        <v>1439367</v>
      </c>
      <c r="I51" s="8" t="n">
        <v>21729</v>
      </c>
      <c r="J51" s="8" t="n">
        <v>20257</v>
      </c>
      <c r="K51" s="7" t="n">
        <v>4129280</v>
      </c>
      <c r="L51" s="9" t="n">
        <f aca="false">IF(F51&gt;0,H51/F51,0)</f>
        <v>0.549540111353719</v>
      </c>
      <c r="M51" s="5" t="s">
        <v>123</v>
      </c>
    </row>
    <row r="52" customFormat="false" ht="23.85" hidden="false" customHeight="false" outlineLevel="0" collapsed="false">
      <c r="A52" s="13" t="n">
        <v>49</v>
      </c>
      <c r="B52" s="13" t="s">
        <v>110</v>
      </c>
      <c r="C52" s="5" t="s">
        <v>124</v>
      </c>
      <c r="D52" s="5" t="s">
        <v>35</v>
      </c>
      <c r="E52" s="5" t="s">
        <v>18</v>
      </c>
      <c r="F52" s="6" t="n">
        <v>2352990</v>
      </c>
      <c r="G52" s="7" t="n">
        <v>21465</v>
      </c>
      <c r="H52" s="7" t="n">
        <v>27465</v>
      </c>
      <c r="I52" s="8" t="n">
        <v>29327</v>
      </c>
      <c r="J52" s="8" t="n">
        <v>4995</v>
      </c>
      <c r="K52" s="7" t="n">
        <v>3024739</v>
      </c>
      <c r="L52" s="9" t="n">
        <f aca="false">IF(F52&gt;0,H52/F52,0)</f>
        <v>0.0116723827980569</v>
      </c>
      <c r="M52" s="5" t="s">
        <v>125</v>
      </c>
    </row>
    <row r="53" customFormat="false" ht="23.85" hidden="false" customHeight="false" outlineLevel="0" collapsed="false">
      <c r="A53" s="13" t="n">
        <v>50</v>
      </c>
      <c r="B53" s="13" t="s">
        <v>110</v>
      </c>
      <c r="C53" s="5" t="s">
        <v>126</v>
      </c>
      <c r="D53" s="5" t="s">
        <v>35</v>
      </c>
      <c r="E53" s="5" t="s">
        <v>18</v>
      </c>
      <c r="F53" s="6" t="n">
        <v>2352454</v>
      </c>
      <c r="G53" s="7" t="n">
        <v>435744</v>
      </c>
      <c r="H53" s="7" t="n">
        <v>435744</v>
      </c>
      <c r="I53" s="6" t="n">
        <v>84003</v>
      </c>
      <c r="J53" s="6" t="n">
        <v>409043</v>
      </c>
      <c r="K53" s="7" t="n">
        <v>4374613</v>
      </c>
      <c r="L53" s="9" t="n">
        <f aca="false">IF(F53&gt;0,H53/F53,0)</f>
        <v>0.185229551778696</v>
      </c>
      <c r="M53" s="5" t="s">
        <v>127</v>
      </c>
    </row>
    <row r="54" customFormat="false" ht="15" hidden="false" customHeight="false" outlineLevel="0" collapsed="false">
      <c r="A54" s="13" t="n">
        <v>51</v>
      </c>
      <c r="B54" s="13" t="s">
        <v>110</v>
      </c>
      <c r="C54" s="5" t="s">
        <v>128</v>
      </c>
      <c r="D54" s="5" t="s">
        <v>35</v>
      </c>
      <c r="E54" s="5" t="s">
        <v>18</v>
      </c>
      <c r="F54" s="7" t="n">
        <v>0</v>
      </c>
      <c r="G54" s="7" t="n">
        <v>0</v>
      </c>
      <c r="H54" s="7" t="n">
        <v>0</v>
      </c>
      <c r="I54" s="8" t="n">
        <v>0</v>
      </c>
      <c r="J54" s="8" t="n">
        <v>0</v>
      </c>
      <c r="K54" s="7" t="n">
        <v>11141</v>
      </c>
      <c r="L54" s="9" t="n">
        <f aca="false">IF(F54&gt;0,H54/F54,0)</f>
        <v>0</v>
      </c>
      <c r="M54" s="5" t="s">
        <v>129</v>
      </c>
    </row>
    <row r="55" customFormat="false" ht="23.85" hidden="false" customHeight="false" outlineLevel="0" collapsed="false">
      <c r="A55" s="14" t="n">
        <v>52</v>
      </c>
      <c r="B55" s="14" t="s">
        <v>130</v>
      </c>
      <c r="C55" s="5" t="s">
        <v>131</v>
      </c>
      <c r="D55" s="5" t="s">
        <v>30</v>
      </c>
      <c r="E55" s="5" t="s">
        <v>18</v>
      </c>
      <c r="F55" s="6" t="n">
        <v>29797591</v>
      </c>
      <c r="G55" s="7" t="n">
        <v>4893540</v>
      </c>
      <c r="H55" s="7" t="n">
        <v>9324540</v>
      </c>
      <c r="I55" s="6" t="n">
        <v>1026687</v>
      </c>
      <c r="J55" s="6" t="n">
        <v>461347</v>
      </c>
      <c r="K55" s="7" t="n">
        <v>156529346</v>
      </c>
      <c r="L55" s="9" t="n">
        <f aca="false">IF(F55&gt;0,H55/F55,0)</f>
        <v>0.312929323716135</v>
      </c>
      <c r="M55" s="5" t="s">
        <v>132</v>
      </c>
    </row>
    <row r="56" customFormat="false" ht="15" hidden="false" customHeight="false" outlineLevel="0" collapsed="false">
      <c r="A56" s="14" t="n">
        <v>53</v>
      </c>
      <c r="B56" s="14" t="s">
        <v>130</v>
      </c>
      <c r="C56" s="5" t="s">
        <v>133</v>
      </c>
      <c r="D56" s="5" t="s">
        <v>30</v>
      </c>
      <c r="E56" s="5" t="s">
        <v>88</v>
      </c>
      <c r="F56" s="6" t="n">
        <v>29774649</v>
      </c>
      <c r="G56" s="7" t="n">
        <v>0</v>
      </c>
      <c r="H56" s="7" t="n">
        <v>36466</v>
      </c>
      <c r="I56" s="8" t="n">
        <v>0</v>
      </c>
      <c r="J56" s="6" t="n">
        <v>1564041</v>
      </c>
      <c r="K56" s="7" t="n">
        <v>23619910</v>
      </c>
      <c r="L56" s="9" t="n">
        <f aca="false">IF(F56&gt;0,H56/F56,0)</f>
        <v>0.00122473316142199</v>
      </c>
      <c r="M56" s="5" t="s">
        <v>134</v>
      </c>
    </row>
    <row r="57" customFormat="false" ht="15" hidden="false" customHeight="false" outlineLevel="0" collapsed="false">
      <c r="A57" s="14" t="n">
        <v>54</v>
      </c>
      <c r="B57" s="14" t="s">
        <v>130</v>
      </c>
      <c r="C57" s="5" t="s">
        <v>135</v>
      </c>
      <c r="D57" s="5" t="s">
        <v>17</v>
      </c>
      <c r="E57" s="5" t="s">
        <v>18</v>
      </c>
      <c r="F57" s="6" t="n">
        <v>15213569</v>
      </c>
      <c r="G57" s="7" t="n">
        <v>4077111</v>
      </c>
      <c r="H57" s="7" t="n">
        <v>4077111</v>
      </c>
      <c r="I57" s="6" t="n">
        <v>113307</v>
      </c>
      <c r="J57" s="6" t="n">
        <v>35532</v>
      </c>
      <c r="K57" s="7" t="n">
        <v>29242564</v>
      </c>
      <c r="L57" s="9" t="n">
        <f aca="false">IF(F57&gt;0,H57/F57,0)</f>
        <v>0.267991751310951</v>
      </c>
      <c r="M57" s="5" t="s">
        <v>136</v>
      </c>
    </row>
    <row r="58" customFormat="false" ht="23.85" hidden="false" customHeight="false" outlineLevel="0" collapsed="false">
      <c r="A58" s="14" t="n">
        <v>55</v>
      </c>
      <c r="B58" s="14" t="s">
        <v>130</v>
      </c>
      <c r="C58" s="5" t="s">
        <v>137</v>
      </c>
      <c r="D58" s="5" t="s">
        <v>30</v>
      </c>
      <c r="E58" s="5" t="s">
        <v>138</v>
      </c>
      <c r="F58" s="6" t="n">
        <v>14185992</v>
      </c>
      <c r="G58" s="7" t="n">
        <v>792184</v>
      </c>
      <c r="H58" s="7" t="n">
        <v>2463278</v>
      </c>
      <c r="I58" s="6" t="n">
        <v>393285</v>
      </c>
      <c r="J58" s="6" t="n">
        <v>1055107</v>
      </c>
      <c r="K58" s="7" t="n">
        <v>17436739</v>
      </c>
      <c r="L58" s="9" t="n">
        <f aca="false">IF(F58&gt;0,H58/F58,0)</f>
        <v>0.173641575435824</v>
      </c>
      <c r="M58" s="5" t="s">
        <v>139</v>
      </c>
    </row>
    <row r="59" customFormat="false" ht="15" hidden="false" customHeight="false" outlineLevel="0" collapsed="false">
      <c r="A59" s="14" t="n">
        <v>56</v>
      </c>
      <c r="B59" s="14" t="s">
        <v>130</v>
      </c>
      <c r="C59" s="5" t="s">
        <v>140</v>
      </c>
      <c r="D59" s="5" t="s">
        <v>21</v>
      </c>
      <c r="E59" s="5" t="s">
        <v>18</v>
      </c>
      <c r="F59" s="6" t="n">
        <v>13824513</v>
      </c>
      <c r="G59" s="7" t="n">
        <v>2976005</v>
      </c>
      <c r="H59" s="7" t="n">
        <v>2976738</v>
      </c>
      <c r="I59" s="8" t="n">
        <v>0</v>
      </c>
      <c r="J59" s="6" t="n">
        <v>43154</v>
      </c>
      <c r="K59" s="7" t="n">
        <v>37399132</v>
      </c>
      <c r="L59" s="9" t="n">
        <f aca="false">IF(F59&gt;0,H59/F59,0)</f>
        <v>0.215323172686083</v>
      </c>
      <c r="M59" s="5" t="s">
        <v>141</v>
      </c>
    </row>
    <row r="60" customFormat="false" ht="23.85" hidden="false" customHeight="false" outlineLevel="0" collapsed="false">
      <c r="A60" s="14" t="n">
        <v>57</v>
      </c>
      <c r="B60" s="14" t="s">
        <v>130</v>
      </c>
      <c r="C60" s="5" t="s">
        <v>142</v>
      </c>
      <c r="D60" s="5" t="s">
        <v>30</v>
      </c>
      <c r="E60" s="5" t="s">
        <v>88</v>
      </c>
      <c r="F60" s="6" t="n">
        <v>13554876</v>
      </c>
      <c r="G60" s="7" t="n">
        <v>943592</v>
      </c>
      <c r="H60" s="7" t="n">
        <v>1999580</v>
      </c>
      <c r="I60" s="8" t="n">
        <v>0</v>
      </c>
      <c r="J60" s="6" t="n">
        <v>1216533</v>
      </c>
      <c r="K60" s="7" t="n">
        <v>28165650</v>
      </c>
      <c r="L60" s="9" t="n">
        <f aca="false">IF(F60&gt;0,H60/F60,0)</f>
        <v>0.147517395216304</v>
      </c>
      <c r="M60" s="5" t="s">
        <v>143</v>
      </c>
    </row>
    <row r="61" customFormat="false" ht="23.85" hidden="false" customHeight="false" outlineLevel="0" collapsed="false">
      <c r="A61" s="14" t="n">
        <v>58</v>
      </c>
      <c r="B61" s="14" t="s">
        <v>130</v>
      </c>
      <c r="C61" s="5" t="s">
        <v>144</v>
      </c>
      <c r="D61" s="5" t="s">
        <v>30</v>
      </c>
      <c r="E61" s="5" t="s">
        <v>88</v>
      </c>
      <c r="F61" s="6" t="n">
        <v>9364550</v>
      </c>
      <c r="G61" s="7" t="n">
        <v>240169</v>
      </c>
      <c r="H61" s="7" t="n">
        <v>240169</v>
      </c>
      <c r="I61" s="8" t="n">
        <v>0</v>
      </c>
      <c r="J61" s="6" t="n">
        <v>115875</v>
      </c>
      <c r="K61" s="7" t="n">
        <v>8860706</v>
      </c>
      <c r="L61" s="9" t="n">
        <f aca="false">IF(F61&gt;0,H61/F61,0)</f>
        <v>0.0256466140925085</v>
      </c>
      <c r="M61" s="5" t="s">
        <v>145</v>
      </c>
    </row>
    <row r="62" customFormat="false" ht="23.85" hidden="false" customHeight="false" outlineLevel="0" collapsed="false">
      <c r="A62" s="14" t="n">
        <v>59</v>
      </c>
      <c r="B62" s="14" t="s">
        <v>130</v>
      </c>
      <c r="C62" s="5" t="s">
        <v>146</v>
      </c>
      <c r="D62" s="5" t="s">
        <v>30</v>
      </c>
      <c r="E62" s="5" t="s">
        <v>88</v>
      </c>
      <c r="F62" s="6" t="n">
        <v>9066638</v>
      </c>
      <c r="G62" s="7" t="n">
        <v>548141</v>
      </c>
      <c r="H62" s="7" t="n">
        <v>568771</v>
      </c>
      <c r="I62" s="8" t="n">
        <v>0</v>
      </c>
      <c r="J62" s="6" t="n">
        <v>960540</v>
      </c>
      <c r="K62" s="7" t="n">
        <v>8627178</v>
      </c>
      <c r="L62" s="9" t="n">
        <f aca="false">IF(F62&gt;0,H62/F62,0)</f>
        <v>0.0627322939329882</v>
      </c>
      <c r="M62" s="5" t="s">
        <v>147</v>
      </c>
    </row>
    <row r="63" customFormat="false" ht="15" hidden="false" customHeight="false" outlineLevel="0" collapsed="false">
      <c r="A63" s="14" t="n">
        <v>60</v>
      </c>
      <c r="B63" s="14" t="s">
        <v>130</v>
      </c>
      <c r="C63" s="5" t="s">
        <v>148</v>
      </c>
      <c r="D63" s="5" t="s">
        <v>21</v>
      </c>
      <c r="E63" s="5" t="s">
        <v>18</v>
      </c>
      <c r="F63" s="6" t="n">
        <v>7552645</v>
      </c>
      <c r="G63" s="7" t="n">
        <v>2488924</v>
      </c>
      <c r="H63" s="7" t="n">
        <v>2706977</v>
      </c>
      <c r="I63" s="8" t="n">
        <v>35088</v>
      </c>
      <c r="J63" s="6" t="n">
        <v>363868</v>
      </c>
      <c r="K63" s="7" t="n">
        <v>16649796</v>
      </c>
      <c r="L63" s="9" t="n">
        <f aca="false">IF(F63&gt;0,H63/F63,0)</f>
        <v>0.35841443626703</v>
      </c>
      <c r="M63" s="5" t="s">
        <v>149</v>
      </c>
    </row>
    <row r="64" customFormat="false" ht="15" hidden="false" customHeight="false" outlineLevel="0" collapsed="false">
      <c r="A64" s="14" t="n">
        <v>61</v>
      </c>
      <c r="B64" s="14" t="s">
        <v>130</v>
      </c>
      <c r="C64" s="5" t="s">
        <v>150</v>
      </c>
      <c r="D64" s="5" t="s">
        <v>21</v>
      </c>
      <c r="E64" s="5" t="s">
        <v>18</v>
      </c>
      <c r="F64" s="6" t="n">
        <v>6866319</v>
      </c>
      <c r="G64" s="7" t="n">
        <v>2246612</v>
      </c>
      <c r="H64" s="7" t="n">
        <v>2577918</v>
      </c>
      <c r="I64" s="8" t="n">
        <v>30768</v>
      </c>
      <c r="J64" s="6" t="n">
        <v>29210</v>
      </c>
      <c r="K64" s="7" t="n">
        <v>6610904</v>
      </c>
      <c r="L64" s="9" t="n">
        <f aca="false">IF(F64&gt;0,H64/F64,0)</f>
        <v>0.375443960584995</v>
      </c>
      <c r="M64" s="5" t="s">
        <v>151</v>
      </c>
    </row>
    <row r="65" customFormat="false" ht="15" hidden="false" customHeight="false" outlineLevel="0" collapsed="false">
      <c r="A65" s="14" t="n">
        <v>62</v>
      </c>
      <c r="B65" s="14" t="s">
        <v>130</v>
      </c>
      <c r="C65" s="5" t="s">
        <v>152</v>
      </c>
      <c r="D65" s="5" t="s">
        <v>21</v>
      </c>
      <c r="E65" s="5" t="s">
        <v>18</v>
      </c>
      <c r="F65" s="6" t="n">
        <v>5815997</v>
      </c>
      <c r="G65" s="7" t="n">
        <v>1882887</v>
      </c>
      <c r="H65" s="7" t="n">
        <v>2117293</v>
      </c>
      <c r="I65" s="6" t="n">
        <v>52848</v>
      </c>
      <c r="J65" s="6" t="n">
        <v>30218</v>
      </c>
      <c r="K65" s="7" t="n">
        <v>8305414</v>
      </c>
      <c r="L65" s="9" t="n">
        <f aca="false">IF(F65&gt;0,H65/F65,0)</f>
        <v>0.364046439501258</v>
      </c>
      <c r="M65" s="5" t="s">
        <v>153</v>
      </c>
    </row>
    <row r="66" customFormat="false" ht="23.85" hidden="false" customHeight="false" outlineLevel="0" collapsed="false">
      <c r="A66" s="14" t="n">
        <v>63</v>
      </c>
      <c r="B66" s="14" t="s">
        <v>130</v>
      </c>
      <c r="C66" s="5" t="s">
        <v>154</v>
      </c>
      <c r="D66" s="5" t="s">
        <v>21</v>
      </c>
      <c r="E66" s="5" t="s">
        <v>18</v>
      </c>
      <c r="F66" s="6" t="n">
        <v>5647051</v>
      </c>
      <c r="G66" s="7" t="n">
        <v>45548</v>
      </c>
      <c r="H66" s="7" t="n">
        <v>45548</v>
      </c>
      <c r="I66" s="6" t="n">
        <v>84505</v>
      </c>
      <c r="J66" s="6" t="n">
        <v>66956</v>
      </c>
      <c r="K66" s="7" t="n">
        <v>8688841</v>
      </c>
      <c r="L66" s="9" t="n">
        <f aca="false">IF(F66&gt;0,H66/F66,0)</f>
        <v>0.00806580284116435</v>
      </c>
      <c r="M66" s="5" t="s">
        <v>155</v>
      </c>
    </row>
    <row r="67" customFormat="false" ht="23.85" hidden="false" customHeight="false" outlineLevel="0" collapsed="false">
      <c r="A67" s="14" t="n">
        <v>64</v>
      </c>
      <c r="B67" s="14" t="s">
        <v>130</v>
      </c>
      <c r="C67" s="5" t="s">
        <v>156</v>
      </c>
      <c r="D67" s="5" t="s">
        <v>21</v>
      </c>
      <c r="E67" s="5" t="s">
        <v>18</v>
      </c>
      <c r="F67" s="6" t="n">
        <v>4156009</v>
      </c>
      <c r="G67" s="7" t="n">
        <v>65830</v>
      </c>
      <c r="H67" s="7" t="n">
        <v>65830</v>
      </c>
      <c r="I67" s="8" t="n">
        <v>0</v>
      </c>
      <c r="J67" s="6" t="n">
        <v>47739</v>
      </c>
      <c r="K67" s="7" t="n">
        <v>12155101</v>
      </c>
      <c r="L67" s="9" t="n">
        <f aca="false">IF(F67&gt;0,H67/F67,0)</f>
        <v>0.0158397154577865</v>
      </c>
      <c r="M67" s="5" t="s">
        <v>157</v>
      </c>
    </row>
    <row r="68" customFormat="false" ht="23.85" hidden="false" customHeight="false" outlineLevel="0" collapsed="false">
      <c r="A68" s="14" t="n">
        <v>65</v>
      </c>
      <c r="B68" s="14" t="s">
        <v>130</v>
      </c>
      <c r="C68" s="5" t="s">
        <v>158</v>
      </c>
      <c r="D68" s="5" t="s">
        <v>17</v>
      </c>
      <c r="E68" s="5" t="s">
        <v>18</v>
      </c>
      <c r="F68" s="6" t="n">
        <v>4036699</v>
      </c>
      <c r="G68" s="7" t="n">
        <v>2565554</v>
      </c>
      <c r="H68" s="7" t="n">
        <v>2672454</v>
      </c>
      <c r="I68" s="6" t="n">
        <v>116360</v>
      </c>
      <c r="J68" s="8" t="n">
        <v>13250</v>
      </c>
      <c r="K68" s="7" t="n">
        <v>4709259</v>
      </c>
      <c r="L68" s="9" t="n">
        <f aca="false">IF(F68&gt;0,H68/F68,0)</f>
        <v>0.662039453523783</v>
      </c>
      <c r="M68" s="5" t="s">
        <v>159</v>
      </c>
    </row>
    <row r="69" customFormat="false" ht="15" hidden="false" customHeight="false" outlineLevel="0" collapsed="false">
      <c r="A69" s="14" t="n">
        <v>66</v>
      </c>
      <c r="B69" s="14" t="s">
        <v>130</v>
      </c>
      <c r="C69" s="5" t="s">
        <v>160</v>
      </c>
      <c r="D69" s="5" t="s">
        <v>21</v>
      </c>
      <c r="E69" s="5" t="s">
        <v>18</v>
      </c>
      <c r="F69" s="6" t="n">
        <v>3818841</v>
      </c>
      <c r="G69" s="7" t="n">
        <v>1250030</v>
      </c>
      <c r="H69" s="7" t="n">
        <v>1357602</v>
      </c>
      <c r="I69" s="6" t="n">
        <v>141977</v>
      </c>
      <c r="J69" s="6" t="n">
        <v>206530</v>
      </c>
      <c r="K69" s="7" t="n">
        <v>6199858</v>
      </c>
      <c r="L69" s="9" t="n">
        <f aca="false">IF(F69&gt;0,H69/F69,0)</f>
        <v>0.355501053853774</v>
      </c>
      <c r="M69" s="5" t="s">
        <v>161</v>
      </c>
    </row>
    <row r="70" customFormat="false" ht="15" hidden="false" customHeight="false" outlineLevel="0" collapsed="false">
      <c r="A70" s="14" t="n">
        <v>67</v>
      </c>
      <c r="B70" s="14" t="s">
        <v>130</v>
      </c>
      <c r="C70" s="5" t="s">
        <v>162</v>
      </c>
      <c r="D70" s="5" t="s">
        <v>35</v>
      </c>
      <c r="E70" s="5" t="s">
        <v>18</v>
      </c>
      <c r="F70" s="6" t="n">
        <v>141903</v>
      </c>
      <c r="G70" s="7" t="n">
        <v>14822</v>
      </c>
      <c r="H70" s="7" t="n">
        <v>16166</v>
      </c>
      <c r="I70" s="8" t="n">
        <v>2226</v>
      </c>
      <c r="J70" s="8" t="n">
        <v>1330</v>
      </c>
      <c r="K70" s="7" t="n">
        <v>174104</v>
      </c>
      <c r="L70" s="9" t="n">
        <f aca="false">IF(F70&gt;0,H70/F70,0)</f>
        <v>0.113922890988915</v>
      </c>
      <c r="M70" s="5" t="s">
        <v>163</v>
      </c>
    </row>
    <row r="71" customFormat="false" ht="15" hidden="false" customHeight="false" outlineLevel="0" collapsed="false">
      <c r="A71" s="14" t="n">
        <v>68</v>
      </c>
      <c r="B71" s="14" t="s">
        <v>130</v>
      </c>
      <c r="C71" s="5" t="s">
        <v>164</v>
      </c>
      <c r="D71" s="5" t="s">
        <v>17</v>
      </c>
      <c r="E71" s="5" t="s">
        <v>18</v>
      </c>
      <c r="F71" s="6" t="n">
        <v>82017</v>
      </c>
      <c r="G71" s="7" t="n">
        <v>36413</v>
      </c>
      <c r="H71" s="7" t="n">
        <v>36413</v>
      </c>
      <c r="I71" s="8" t="n">
        <v>0</v>
      </c>
      <c r="J71" s="8" t="n">
        <v>0</v>
      </c>
      <c r="K71" s="7" t="n">
        <v>0</v>
      </c>
      <c r="L71" s="9" t="n">
        <f aca="false">IF(F71&gt;0,H71/F71,0)</f>
        <v>0.443968933269932</v>
      </c>
      <c r="M71" s="5" t="s">
        <v>165</v>
      </c>
    </row>
    <row r="72" customFormat="false" ht="15" hidden="false" customHeight="false" outlineLevel="0" collapsed="false">
      <c r="A72" s="14" t="n">
        <v>69</v>
      </c>
      <c r="B72" s="14" t="s">
        <v>130</v>
      </c>
      <c r="C72" s="5" t="s">
        <v>166</v>
      </c>
      <c r="D72" s="5" t="s">
        <v>35</v>
      </c>
      <c r="E72" s="5" t="s">
        <v>18</v>
      </c>
      <c r="F72" s="6" t="n">
        <v>52995</v>
      </c>
      <c r="G72" s="7" t="n">
        <v>0</v>
      </c>
      <c r="H72" s="7" t="n">
        <v>0</v>
      </c>
      <c r="I72" s="8" t="n">
        <v>0</v>
      </c>
      <c r="J72" s="8" t="n">
        <v>0</v>
      </c>
      <c r="K72" s="7" t="n">
        <v>55862</v>
      </c>
      <c r="L72" s="9" t="n">
        <f aca="false">IF(F72&gt;0,H72/F72,0)</f>
        <v>0</v>
      </c>
      <c r="M72" s="5" t="s">
        <v>167</v>
      </c>
    </row>
    <row r="73" customFormat="false" ht="15" hidden="false" customHeight="false" outlineLevel="0" collapsed="false">
      <c r="A73" s="14" t="n">
        <v>70</v>
      </c>
      <c r="B73" s="14" t="s">
        <v>130</v>
      </c>
      <c r="C73" s="5" t="s">
        <v>168</v>
      </c>
      <c r="D73" s="5" t="s">
        <v>35</v>
      </c>
      <c r="E73" s="5" t="s">
        <v>18</v>
      </c>
      <c r="F73" s="6" t="n">
        <v>50909</v>
      </c>
      <c r="G73" s="7" t="n">
        <v>1196</v>
      </c>
      <c r="H73" s="7" t="n">
        <v>8996</v>
      </c>
      <c r="I73" s="8" t="n">
        <v>0</v>
      </c>
      <c r="J73" s="8" t="n">
        <v>0</v>
      </c>
      <c r="K73" s="7" t="n">
        <v>159242</v>
      </c>
      <c r="L73" s="9" t="n">
        <f aca="false">IF(F73&gt;0,H73/F73,0)</f>
        <v>0.176707458406176</v>
      </c>
      <c r="M73" s="5" t="s">
        <v>169</v>
      </c>
    </row>
    <row r="74" customFormat="false" ht="15" hidden="false" customHeight="false" outlineLevel="0" collapsed="false">
      <c r="A74" s="14" t="n">
        <v>71</v>
      </c>
      <c r="B74" s="14" t="s">
        <v>130</v>
      </c>
      <c r="C74" s="5" t="s">
        <v>170</v>
      </c>
      <c r="D74" s="5" t="s">
        <v>35</v>
      </c>
      <c r="E74" s="5" t="s">
        <v>18</v>
      </c>
      <c r="F74" s="6" t="n">
        <v>43866</v>
      </c>
      <c r="G74" s="7" t="n">
        <v>3432</v>
      </c>
      <c r="H74" s="7" t="n">
        <v>11099</v>
      </c>
      <c r="I74" s="8" t="n">
        <v>0</v>
      </c>
      <c r="J74" s="8" t="n">
        <v>0</v>
      </c>
      <c r="K74" s="7" t="n">
        <v>63768</v>
      </c>
      <c r="L74" s="9" t="n">
        <f aca="false">IF(F74&gt;0,H74/F74,0)</f>
        <v>0.253020562622532</v>
      </c>
      <c r="M74" s="5" t="s">
        <v>171</v>
      </c>
    </row>
    <row r="75" customFormat="false" ht="15" hidden="false" customHeight="false" outlineLevel="0" collapsed="false">
      <c r="A75" s="14" t="n">
        <v>72</v>
      </c>
      <c r="B75" s="14" t="s">
        <v>130</v>
      </c>
      <c r="C75" s="5" t="s">
        <v>172</v>
      </c>
      <c r="D75" s="5" t="s">
        <v>35</v>
      </c>
      <c r="E75" s="5" t="s">
        <v>18</v>
      </c>
      <c r="F75" s="6" t="n">
        <v>42215</v>
      </c>
      <c r="G75" s="7" t="n">
        <v>21332</v>
      </c>
      <c r="H75" s="7" t="n">
        <v>21332</v>
      </c>
      <c r="I75" s="8" t="n">
        <v>0</v>
      </c>
      <c r="J75" s="8" t="n">
        <v>0</v>
      </c>
      <c r="K75" s="7" t="n">
        <v>16901</v>
      </c>
      <c r="L75" s="9" t="n">
        <f aca="false">IF(F75&gt;0,H75/F75,0)</f>
        <v>0.505318014923605</v>
      </c>
      <c r="M75" s="5" t="s">
        <v>173</v>
      </c>
    </row>
    <row r="76" customFormat="false" ht="15" hidden="false" customHeight="false" outlineLevel="0" collapsed="false">
      <c r="A76" s="14" t="n">
        <v>73</v>
      </c>
      <c r="B76" s="14" t="s">
        <v>130</v>
      </c>
      <c r="C76" s="5" t="s">
        <v>174</v>
      </c>
      <c r="D76" s="5" t="s">
        <v>35</v>
      </c>
      <c r="E76" s="5" t="s">
        <v>18</v>
      </c>
      <c r="F76" s="6" t="n">
        <v>41945</v>
      </c>
      <c r="G76" s="7" t="n">
        <v>0</v>
      </c>
      <c r="H76" s="7" t="n">
        <v>0</v>
      </c>
      <c r="I76" s="8" t="n">
        <v>0</v>
      </c>
      <c r="J76" s="8" t="n">
        <v>10095</v>
      </c>
      <c r="K76" s="7" t="n">
        <v>205744</v>
      </c>
      <c r="L76" s="9" t="n">
        <f aca="false">IF(F76&gt;0,H76/F76,0)</f>
        <v>0</v>
      </c>
      <c r="M76" s="5" t="s">
        <v>175</v>
      </c>
    </row>
    <row r="77" customFormat="false" ht="15" hidden="false" customHeight="false" outlineLevel="0" collapsed="false">
      <c r="A77" s="14" t="n">
        <v>74</v>
      </c>
      <c r="B77" s="14" t="s">
        <v>130</v>
      </c>
      <c r="C77" s="5" t="s">
        <v>176</v>
      </c>
      <c r="D77" s="5" t="s">
        <v>17</v>
      </c>
      <c r="E77" s="5" t="s">
        <v>18</v>
      </c>
      <c r="F77" s="6" t="n">
        <v>6877</v>
      </c>
      <c r="G77" s="7" t="n">
        <v>6280</v>
      </c>
      <c r="H77" s="7" t="n">
        <v>6280</v>
      </c>
      <c r="I77" s="8" t="n">
        <v>0</v>
      </c>
      <c r="J77" s="8" t="n">
        <v>0</v>
      </c>
      <c r="K77" s="7" t="n">
        <v>17517</v>
      </c>
      <c r="L77" s="9" t="n">
        <f aca="false">IF(F77&gt;0,H77/F77,0)</f>
        <v>0.913188890504581</v>
      </c>
      <c r="M77" s="5" t="s">
        <v>177</v>
      </c>
    </row>
    <row r="79" customFormat="false" ht="15" hidden="false" customHeight="false" outlineLevel="0" collapsed="false">
      <c r="A79" s="15" t="s">
        <v>178</v>
      </c>
    </row>
    <row r="80" customFormat="false" ht="15" hidden="false" customHeight="false" outlineLevel="0" collapsed="false">
      <c r="B80" s="16" t="s">
        <v>15</v>
      </c>
      <c r="C80" s="0" t="s">
        <v>179</v>
      </c>
    </row>
    <row r="81" customFormat="false" ht="15" hidden="false" customHeight="false" outlineLevel="0" collapsed="false">
      <c r="B81" s="17" t="s">
        <v>28</v>
      </c>
      <c r="C81" s="0" t="s">
        <v>180</v>
      </c>
    </row>
    <row r="82" customFormat="false" ht="15" hidden="false" customHeight="false" outlineLevel="0" collapsed="false">
      <c r="B82" s="18" t="s">
        <v>63</v>
      </c>
      <c r="C82" s="0" t="s">
        <v>181</v>
      </c>
    </row>
    <row r="83" customFormat="false" ht="15" hidden="false" customHeight="false" outlineLevel="0" collapsed="false">
      <c r="B83" s="19" t="s">
        <v>86</v>
      </c>
      <c r="C83" s="0" t="s">
        <v>181</v>
      </c>
    </row>
    <row r="84" customFormat="false" ht="15" hidden="false" customHeight="false" outlineLevel="0" collapsed="false">
      <c r="B84" s="20" t="s">
        <v>110</v>
      </c>
      <c r="C84" s="0" t="s">
        <v>182</v>
      </c>
    </row>
    <row r="85" customFormat="false" ht="15" hidden="false" customHeight="false" outlineLevel="0" collapsed="false">
      <c r="B85" s="21" t="s">
        <v>130</v>
      </c>
      <c r="C85" s="0" t="s">
        <v>183</v>
      </c>
    </row>
    <row r="86" customFormat="false" ht="15" hidden="false" customHeight="false" outlineLevel="0" collapsed="false">
      <c r="B86" s="21" t="s">
        <v>184</v>
      </c>
      <c r="C86" s="0" t="s">
        <v>185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22" width="28"/>
    <col collapsed="false" customWidth="true" hidden="false" outlineLevel="0" max="2" min="2" style="22" width="18"/>
    <col collapsed="false" customWidth="true" hidden="false" outlineLevel="0" max="3" min="3" style="22" width="8"/>
    <col collapsed="false" customWidth="true" hidden="false" outlineLevel="0" max="4" min="4" style="22" width="25"/>
    <col collapsed="false" customWidth="true" hidden="false" outlineLevel="0" max="5" min="5" style="22" width="15"/>
    <col collapsed="false" customWidth="true" hidden="false" outlineLevel="0" max="6" min="6" style="22" width="18"/>
    <col collapsed="false" customWidth="true" hidden="false" outlineLevel="0" max="7" min="7" style="22" width="20"/>
    <col collapsed="false" customWidth="true" hidden="false" outlineLevel="0" max="8" min="8" style="22" width="65"/>
    <col collapsed="false" customWidth="true" hidden="false" outlineLevel="0" max="9" min="9" style="22" width="50"/>
    <col collapsed="false" customWidth="true" hidden="false" outlineLevel="0" max="10" min="10" style="22" width="10"/>
    <col collapsed="false" customWidth="true" hidden="false" outlineLevel="0" max="11" min="11" style="22" width="50"/>
  </cols>
  <sheetData>
    <row r="1" customFormat="false" ht="15" hidden="false" customHeight="true" outlineLevel="0" collapsed="false">
      <c r="A1" s="23" t="s">
        <v>4</v>
      </c>
      <c r="B1" s="23" t="s">
        <v>186</v>
      </c>
      <c r="C1" s="23" t="s">
        <v>187</v>
      </c>
      <c r="D1" s="23" t="s">
        <v>188</v>
      </c>
      <c r="E1" s="23" t="s">
        <v>189</v>
      </c>
      <c r="F1" s="23" t="s">
        <v>190</v>
      </c>
      <c r="G1" s="23" t="s">
        <v>191</v>
      </c>
      <c r="H1" s="23" t="s">
        <v>192</v>
      </c>
      <c r="I1" s="23" t="s">
        <v>193</v>
      </c>
      <c r="J1" s="23" t="s">
        <v>194</v>
      </c>
      <c r="K1" s="23" t="s">
        <v>195</v>
      </c>
    </row>
    <row r="2" customFormat="false" ht="45.75" hidden="false" customHeight="true" outlineLevel="0" collapsed="false">
      <c r="A2" s="24" t="s">
        <v>158</v>
      </c>
      <c r="B2" s="24" t="s">
        <v>196</v>
      </c>
      <c r="C2" s="24" t="s">
        <v>197</v>
      </c>
      <c r="D2" s="24" t="s">
        <v>198</v>
      </c>
      <c r="E2" s="24" t="s">
        <v>199</v>
      </c>
      <c r="F2" s="24" t="s">
        <v>199</v>
      </c>
      <c r="G2" s="24" t="s">
        <v>200</v>
      </c>
      <c r="H2" s="24" t="s">
        <v>201</v>
      </c>
      <c r="I2" s="24" t="s">
        <v>202</v>
      </c>
      <c r="J2" s="25" t="s">
        <v>203</v>
      </c>
      <c r="K2" s="24" t="s">
        <v>204</v>
      </c>
    </row>
    <row r="3" customFormat="false" ht="23.25" hidden="false" customHeight="true" outlineLevel="0" collapsed="false">
      <c r="A3" s="24" t="s">
        <v>205</v>
      </c>
      <c r="B3" s="24" t="s">
        <v>196</v>
      </c>
      <c r="C3" s="24" t="s">
        <v>206</v>
      </c>
      <c r="D3" s="24" t="s">
        <v>207</v>
      </c>
      <c r="E3" s="24" t="s">
        <v>199</v>
      </c>
      <c r="F3" s="24" t="s">
        <v>199</v>
      </c>
      <c r="G3" s="24" t="s">
        <v>199</v>
      </c>
      <c r="H3" s="24" t="s">
        <v>208</v>
      </c>
      <c r="I3" s="24" t="s">
        <v>209</v>
      </c>
      <c r="J3" s="25" t="s">
        <v>203</v>
      </c>
      <c r="K3" s="24" t="s">
        <v>210</v>
      </c>
    </row>
    <row r="4" customFormat="false" ht="23.25" hidden="false" customHeight="true" outlineLevel="0" collapsed="false">
      <c r="A4" s="24" t="s">
        <v>135</v>
      </c>
      <c r="B4" s="24" t="s">
        <v>211</v>
      </c>
      <c r="C4" s="24" t="s">
        <v>212</v>
      </c>
      <c r="D4" s="24" t="s">
        <v>213</v>
      </c>
      <c r="E4" s="24" t="s">
        <v>199</v>
      </c>
      <c r="F4" s="24" t="s">
        <v>199</v>
      </c>
      <c r="G4" s="24" t="s">
        <v>199</v>
      </c>
      <c r="H4" s="24" t="s">
        <v>214</v>
      </c>
      <c r="I4" s="24" t="s">
        <v>215</v>
      </c>
      <c r="J4" s="25" t="s">
        <v>203</v>
      </c>
      <c r="K4" s="24" t="s">
        <v>216</v>
      </c>
    </row>
    <row r="5" customFormat="false" ht="23.25" hidden="false" customHeight="true" outlineLevel="0" collapsed="false">
      <c r="A5" s="24" t="s">
        <v>45</v>
      </c>
      <c r="B5" s="24" t="s">
        <v>217</v>
      </c>
      <c r="C5" s="24" t="s">
        <v>218</v>
      </c>
      <c r="D5" s="24" t="s">
        <v>219</v>
      </c>
      <c r="E5" s="24" t="s">
        <v>199</v>
      </c>
      <c r="F5" s="24" t="s">
        <v>199</v>
      </c>
      <c r="G5" s="24" t="s">
        <v>199</v>
      </c>
      <c r="H5" s="24" t="s">
        <v>220</v>
      </c>
      <c r="I5" s="24" t="s">
        <v>221</v>
      </c>
      <c r="J5" s="25" t="s">
        <v>203</v>
      </c>
      <c r="K5" s="24" t="s">
        <v>222</v>
      </c>
    </row>
    <row r="6" customFormat="false" ht="15" hidden="false" customHeight="true" outlineLevel="0" collapsed="false">
      <c r="A6" s="24" t="s">
        <v>176</v>
      </c>
      <c r="B6" s="24" t="s">
        <v>223</v>
      </c>
      <c r="C6" s="24" t="s">
        <v>224</v>
      </c>
      <c r="D6" s="24" t="s">
        <v>225</v>
      </c>
      <c r="E6" s="24" t="s">
        <v>199</v>
      </c>
      <c r="F6" s="24" t="s">
        <v>199</v>
      </c>
      <c r="G6" s="24" t="s">
        <v>199</v>
      </c>
      <c r="H6" s="24" t="s">
        <v>226</v>
      </c>
      <c r="I6" s="24" t="s">
        <v>227</v>
      </c>
      <c r="J6" s="25" t="s">
        <v>203</v>
      </c>
      <c r="K6" s="24" t="s">
        <v>228</v>
      </c>
    </row>
    <row r="7" customFormat="false" ht="15" hidden="false" customHeight="true" outlineLevel="0" collapsed="false">
      <c r="A7" s="24" t="s">
        <v>229</v>
      </c>
      <c r="B7" s="24" t="s">
        <v>230</v>
      </c>
      <c r="C7" s="24" t="s">
        <v>224</v>
      </c>
      <c r="D7" s="24" t="s">
        <v>231</v>
      </c>
      <c r="E7" s="24" t="s">
        <v>199</v>
      </c>
      <c r="F7" s="24" t="s">
        <v>199</v>
      </c>
      <c r="G7" s="24" t="s">
        <v>199</v>
      </c>
      <c r="H7" s="24" t="s">
        <v>232</v>
      </c>
      <c r="I7" s="24" t="s">
        <v>233</v>
      </c>
      <c r="J7" s="25" t="s">
        <v>203</v>
      </c>
      <c r="K7" s="24" t="s">
        <v>234</v>
      </c>
    </row>
    <row r="8" customFormat="false" ht="15" hidden="false" customHeight="true" outlineLevel="0" collapsed="false">
      <c r="A8" s="24" t="s">
        <v>235</v>
      </c>
      <c r="B8" s="24" t="s">
        <v>236</v>
      </c>
      <c r="C8" s="24" t="s">
        <v>224</v>
      </c>
      <c r="D8" s="24" t="s">
        <v>237</v>
      </c>
      <c r="E8" s="24" t="s">
        <v>199</v>
      </c>
      <c r="F8" s="24" t="s">
        <v>199</v>
      </c>
      <c r="G8" s="24" t="s">
        <v>199</v>
      </c>
      <c r="H8" s="24" t="s">
        <v>238</v>
      </c>
      <c r="I8" s="24" t="s">
        <v>239</v>
      </c>
      <c r="J8" s="24" t="s">
        <v>240</v>
      </c>
      <c r="K8" s="24"/>
    </row>
    <row r="9" customFormat="false" ht="15" hidden="false" customHeight="true" outlineLevel="0" collapsed="false">
      <c r="A9" s="24" t="s">
        <v>70</v>
      </c>
      <c r="B9" s="24" t="s">
        <v>241</v>
      </c>
      <c r="C9" s="24" t="s">
        <v>224</v>
      </c>
      <c r="D9" s="24" t="s">
        <v>242</v>
      </c>
      <c r="E9" s="24" t="s">
        <v>199</v>
      </c>
      <c r="F9" s="24" t="s">
        <v>199</v>
      </c>
      <c r="G9" s="24" t="s">
        <v>199</v>
      </c>
      <c r="H9" s="24" t="s">
        <v>243</v>
      </c>
      <c r="I9" s="24" t="s">
        <v>244</v>
      </c>
      <c r="J9" s="24" t="s">
        <v>240</v>
      </c>
      <c r="K9" s="24" t="s">
        <v>245</v>
      </c>
    </row>
    <row r="10" customFormat="false" ht="15" hidden="false" customHeight="true" outlineLevel="0" collapsed="false">
      <c r="A10" s="24" t="s">
        <v>74</v>
      </c>
      <c r="B10" s="24" t="s">
        <v>246</v>
      </c>
      <c r="C10" s="24" t="s">
        <v>218</v>
      </c>
      <c r="D10" s="24" t="s">
        <v>247</v>
      </c>
      <c r="E10" s="24" t="s">
        <v>248</v>
      </c>
      <c r="F10" s="24" t="s">
        <v>199</v>
      </c>
      <c r="G10" s="24" t="s">
        <v>199</v>
      </c>
      <c r="H10" s="24" t="s">
        <v>249</v>
      </c>
      <c r="I10" s="24" t="s">
        <v>250</v>
      </c>
      <c r="J10" s="24" t="s">
        <v>240</v>
      </c>
      <c r="K10" s="24" t="s">
        <v>251</v>
      </c>
    </row>
    <row r="11" customFormat="false" ht="15" hidden="false" customHeight="true" outlineLevel="0" collapsed="false">
      <c r="A11" s="24" t="s">
        <v>164</v>
      </c>
      <c r="B11" s="24" t="s">
        <v>252</v>
      </c>
      <c r="C11" s="24" t="s">
        <v>218</v>
      </c>
      <c r="D11" s="24" t="s">
        <v>253</v>
      </c>
      <c r="E11" s="24" t="s">
        <v>199</v>
      </c>
      <c r="F11" s="24" t="s">
        <v>199</v>
      </c>
      <c r="G11" s="24" t="s">
        <v>199</v>
      </c>
      <c r="H11" s="24" t="s">
        <v>254</v>
      </c>
      <c r="I11" s="24" t="s">
        <v>255</v>
      </c>
      <c r="J11" s="24" t="s">
        <v>256</v>
      </c>
      <c r="K11" s="24" t="s">
        <v>257</v>
      </c>
    </row>
    <row r="12" customFormat="false" ht="15" hidden="false" customHeight="true" outlineLevel="0" collapsed="false">
      <c r="A12" s="24" t="s">
        <v>72</v>
      </c>
      <c r="B12" s="24" t="s">
        <v>252</v>
      </c>
      <c r="C12" s="24" t="s">
        <v>224</v>
      </c>
      <c r="D12" s="24" t="s">
        <v>258</v>
      </c>
      <c r="E12" s="24" t="s">
        <v>199</v>
      </c>
      <c r="F12" s="24" t="s">
        <v>199</v>
      </c>
      <c r="G12" s="24" t="s">
        <v>199</v>
      </c>
      <c r="H12" s="24" t="s">
        <v>259</v>
      </c>
      <c r="I12" s="24" t="s">
        <v>260</v>
      </c>
      <c r="J12" s="24" t="s">
        <v>240</v>
      </c>
      <c r="K12" s="24" t="s">
        <v>261</v>
      </c>
    </row>
    <row r="13" customFormat="false" ht="23.25" hidden="false" customHeight="true" outlineLevel="0" collapsed="false">
      <c r="A13" s="24" t="s">
        <v>262</v>
      </c>
      <c r="B13" s="24" t="s">
        <v>252</v>
      </c>
      <c r="C13" s="24" t="s">
        <v>263</v>
      </c>
      <c r="D13" s="24" t="s">
        <v>264</v>
      </c>
      <c r="E13" s="24" t="s">
        <v>199</v>
      </c>
      <c r="F13" s="24" t="s">
        <v>199</v>
      </c>
      <c r="G13" s="24" t="s">
        <v>199</v>
      </c>
      <c r="H13" s="24" t="s">
        <v>265</v>
      </c>
      <c r="I13" s="24" t="s">
        <v>266</v>
      </c>
      <c r="J13" s="24" t="s">
        <v>256</v>
      </c>
      <c r="K13" s="24" t="s">
        <v>257</v>
      </c>
    </row>
    <row r="14" customFormat="false" ht="23.25" hidden="false" customHeight="true" outlineLevel="0" collapsed="false">
      <c r="A14" s="24" t="s">
        <v>267</v>
      </c>
      <c r="B14" s="24" t="s">
        <v>268</v>
      </c>
      <c r="C14" s="24" t="s">
        <v>224</v>
      </c>
      <c r="D14" s="24" t="s">
        <v>269</v>
      </c>
      <c r="E14" s="24" t="s">
        <v>270</v>
      </c>
      <c r="F14" s="24" t="s">
        <v>199</v>
      </c>
      <c r="G14" s="24" t="s">
        <v>199</v>
      </c>
      <c r="H14" s="24" t="s">
        <v>271</v>
      </c>
      <c r="I14" s="24" t="s">
        <v>272</v>
      </c>
      <c r="J14" s="24" t="s">
        <v>256</v>
      </c>
      <c r="K14" s="24" t="s">
        <v>273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22" width="25"/>
    <col collapsed="false" customWidth="true" hidden="false" outlineLevel="0" max="2" min="2" style="22" width="20"/>
    <col collapsed="false" customWidth="true" hidden="false" outlineLevel="0" max="3" min="3" style="22" width="12"/>
    <col collapsed="false" customWidth="true" hidden="false" outlineLevel="0" max="13" min="4" style="22" width="13"/>
    <col collapsed="false" customWidth="true" hidden="false" outlineLevel="0" max="15" min="14" style="22" width="10"/>
    <col collapsed="false" customWidth="true" hidden="false" outlineLevel="0" max="16" min="16" style="22" width="28"/>
    <col collapsed="false" customWidth="true" hidden="false" outlineLevel="0" max="17" min="17" style="22" width="45"/>
    <col collapsed="false" customWidth="true" hidden="false" outlineLevel="0" max="18" min="18" style="22" width="55"/>
  </cols>
  <sheetData>
    <row r="1" customFormat="false" ht="15" hidden="false" customHeight="true" outlineLevel="0" collapsed="false">
      <c r="A1" s="26" t="s">
        <v>274</v>
      </c>
      <c r="B1" s="26"/>
      <c r="C1" s="26"/>
      <c r="D1" s="26"/>
      <c r="E1" s="26"/>
      <c r="F1" s="26"/>
      <c r="G1" s="26"/>
      <c r="H1" s="26"/>
      <c r="I1" s="26"/>
      <c r="J1" s="26"/>
      <c r="K1" s="26"/>
      <c r="L1" s="26"/>
      <c r="M1" s="26"/>
      <c r="N1" s="26"/>
      <c r="O1" s="26"/>
      <c r="P1" s="26"/>
      <c r="Q1" s="26"/>
      <c r="R1" s="26"/>
    </row>
    <row r="2" customFormat="false" ht="39.75" hidden="false" customHeight="true" outlineLevel="0" collapsed="false">
      <c r="A2" s="27" t="s">
        <v>4</v>
      </c>
      <c r="B2" s="27" t="s">
        <v>275</v>
      </c>
      <c r="C2" s="27" t="s">
        <v>276</v>
      </c>
      <c r="D2" s="27" t="s">
        <v>277</v>
      </c>
      <c r="E2" s="27" t="s">
        <v>278</v>
      </c>
      <c r="F2" s="27" t="s">
        <v>279</v>
      </c>
      <c r="G2" s="27" t="s">
        <v>280</v>
      </c>
      <c r="H2" s="27" t="s">
        <v>281</v>
      </c>
      <c r="I2" s="27" t="s">
        <v>282</v>
      </c>
      <c r="J2" s="27" t="s">
        <v>283</v>
      </c>
      <c r="K2" s="27" t="s">
        <v>284</v>
      </c>
      <c r="L2" s="27" t="s">
        <v>285</v>
      </c>
      <c r="M2" s="27" t="s">
        <v>286</v>
      </c>
      <c r="N2" s="27" t="s">
        <v>287</v>
      </c>
      <c r="O2" s="27" t="s">
        <v>288</v>
      </c>
      <c r="P2" s="27" t="s">
        <v>191</v>
      </c>
      <c r="Q2" s="27" t="s">
        <v>289</v>
      </c>
      <c r="R2" s="27" t="s">
        <v>290</v>
      </c>
    </row>
    <row r="3" customFormat="false" ht="64.5" hidden="false" customHeight="true" outlineLevel="0" collapsed="false">
      <c r="A3" s="28" t="s">
        <v>158</v>
      </c>
      <c r="B3" s="29" t="s">
        <v>291</v>
      </c>
      <c r="C3" s="30" t="s">
        <v>292</v>
      </c>
      <c r="D3" s="31" t="n">
        <v>4036699</v>
      </c>
      <c r="E3" s="32" t="n">
        <v>2565554</v>
      </c>
      <c r="F3" s="32" t="n">
        <v>106900</v>
      </c>
      <c r="G3" s="32" t="n">
        <v>0</v>
      </c>
      <c r="H3" s="32" t="n">
        <v>164725</v>
      </c>
      <c r="I3" s="32" t="n">
        <v>4709259</v>
      </c>
      <c r="J3" s="32" t="n">
        <v>3056702</v>
      </c>
      <c r="K3" s="31" t="n">
        <v>116360</v>
      </c>
      <c r="L3" s="33" t="n">
        <v>13250</v>
      </c>
      <c r="M3" s="32" t="n">
        <v>3304394</v>
      </c>
      <c r="N3" s="9" t="n">
        <f aca="false">IF(D3&gt;0,E3/D3,0)</f>
        <v>0.635557419564848</v>
      </c>
      <c r="O3" s="9" t="n">
        <f aca="false">IF(D3&gt;0,K3/D3,0)</f>
        <v>0.0288255329416437</v>
      </c>
      <c r="P3" s="29" t="s">
        <v>293</v>
      </c>
      <c r="Q3" s="29" t="s">
        <v>294</v>
      </c>
      <c r="R3" s="29" t="s">
        <v>295</v>
      </c>
    </row>
    <row r="4" customFormat="false" ht="64.5" hidden="false" customHeight="true" outlineLevel="0" collapsed="false">
      <c r="A4" s="28" t="s">
        <v>16</v>
      </c>
      <c r="B4" s="29" t="s">
        <v>296</v>
      </c>
      <c r="C4" s="30" t="s">
        <v>297</v>
      </c>
      <c r="D4" s="31" t="n">
        <v>2871334</v>
      </c>
      <c r="E4" s="32" t="n">
        <v>242577</v>
      </c>
      <c r="F4" s="32" t="n">
        <v>0</v>
      </c>
      <c r="G4" s="32" t="n">
        <v>0</v>
      </c>
      <c r="H4" s="32" t="n">
        <v>0</v>
      </c>
      <c r="I4" s="32" t="n">
        <v>2989313</v>
      </c>
      <c r="J4" s="32" t="n">
        <v>1031322</v>
      </c>
      <c r="K4" s="33" t="n">
        <v>0</v>
      </c>
      <c r="L4" s="33" t="n">
        <v>15993</v>
      </c>
      <c r="M4" s="32" t="n">
        <v>2706753</v>
      </c>
      <c r="N4" s="9" t="n">
        <f aca="false">IF(D4&gt;0,E4/D4,0)</f>
        <v>0.0844823346918192</v>
      </c>
      <c r="O4" s="9" t="n">
        <f aca="false">IF(D4&gt;0,K4/D4,0)</f>
        <v>0</v>
      </c>
      <c r="P4" s="29" t="s">
        <v>298</v>
      </c>
      <c r="Q4" s="29" t="s">
        <v>299</v>
      </c>
      <c r="R4" s="29" t="s">
        <v>300</v>
      </c>
    </row>
    <row r="5" customFormat="false" ht="64.5" hidden="false" customHeight="true" outlineLevel="0" collapsed="false">
      <c r="A5" s="28" t="s">
        <v>135</v>
      </c>
      <c r="B5" s="29" t="s">
        <v>301</v>
      </c>
      <c r="C5" s="30" t="s">
        <v>297</v>
      </c>
      <c r="D5" s="31" t="n">
        <v>15213569</v>
      </c>
      <c r="E5" s="32" t="n">
        <v>4077111</v>
      </c>
      <c r="F5" s="32" t="n">
        <v>0</v>
      </c>
      <c r="G5" s="32" t="n">
        <v>0</v>
      </c>
      <c r="H5" s="32" t="n">
        <v>203217</v>
      </c>
      <c r="I5" s="32" t="n">
        <v>29242564</v>
      </c>
      <c r="J5" s="32" t="n">
        <v>22639727</v>
      </c>
      <c r="K5" s="31" t="n">
        <v>113307</v>
      </c>
      <c r="L5" s="31" t="n">
        <v>35532</v>
      </c>
      <c r="M5" s="32" t="n">
        <v>14083224</v>
      </c>
      <c r="N5" s="9" t="n">
        <f aca="false">IF(D5&gt;0,E5/D5,0)</f>
        <v>0.267991751310951</v>
      </c>
      <c r="O5" s="9" t="n">
        <f aca="false">IF(D5&gt;0,K5/D5,0)</f>
        <v>0.00744775929960945</v>
      </c>
      <c r="P5" s="29" t="s">
        <v>302</v>
      </c>
      <c r="Q5" s="29" t="s">
        <v>303</v>
      </c>
      <c r="R5" s="29" t="s">
        <v>304</v>
      </c>
    </row>
    <row r="6" customFormat="false" ht="64.5" hidden="false" customHeight="true" outlineLevel="0" collapsed="false">
      <c r="A6" s="28" t="s">
        <v>45</v>
      </c>
      <c r="B6" s="29" t="s">
        <v>305</v>
      </c>
      <c r="C6" s="30" t="s">
        <v>297</v>
      </c>
      <c r="D6" s="33" t="n">
        <v>603377</v>
      </c>
      <c r="E6" s="32" t="n">
        <v>37696</v>
      </c>
      <c r="F6" s="32" t="n">
        <v>314652</v>
      </c>
      <c r="G6" s="32" t="n">
        <v>0</v>
      </c>
      <c r="H6" s="32" t="n">
        <v>1317</v>
      </c>
      <c r="I6" s="32" t="n">
        <v>1100806</v>
      </c>
      <c r="J6" s="32" t="n">
        <v>709087</v>
      </c>
      <c r="K6" s="33" t="n">
        <v>4373</v>
      </c>
      <c r="L6" s="33" t="n">
        <v>4153</v>
      </c>
      <c r="M6" s="32" t="n">
        <v>580379</v>
      </c>
      <c r="N6" s="9" t="n">
        <f aca="false">IF(D6&gt;0,E6/D6,0)</f>
        <v>0.0624750363371491</v>
      </c>
      <c r="O6" s="9" t="n">
        <f aca="false">IF(D6&gt;0,K6/D6,0)</f>
        <v>0.007247541752503</v>
      </c>
      <c r="P6" s="29" t="s">
        <v>306</v>
      </c>
      <c r="Q6" s="29" t="s">
        <v>307</v>
      </c>
      <c r="R6" s="29" t="s">
        <v>308</v>
      </c>
    </row>
    <row r="7" customFormat="false" ht="64.5" hidden="false" customHeight="true" outlineLevel="0" collapsed="false">
      <c r="A7" s="28" t="s">
        <v>176</v>
      </c>
      <c r="B7" s="29" t="s">
        <v>309</v>
      </c>
      <c r="C7" s="30" t="s">
        <v>297</v>
      </c>
      <c r="D7" s="31" t="n">
        <v>6877</v>
      </c>
      <c r="E7" s="32" t="n">
        <v>6280</v>
      </c>
      <c r="F7" s="32" t="n">
        <v>0</v>
      </c>
      <c r="G7" s="32" t="n">
        <v>0</v>
      </c>
      <c r="H7" s="32" t="n">
        <v>0</v>
      </c>
      <c r="I7" s="32" t="n">
        <v>17517</v>
      </c>
      <c r="J7" s="32" t="n">
        <v>1683</v>
      </c>
      <c r="K7" s="33" t="n">
        <v>0</v>
      </c>
      <c r="L7" s="33" t="n">
        <v>0</v>
      </c>
      <c r="M7" s="32" t="n">
        <v>1029</v>
      </c>
      <c r="N7" s="9" t="n">
        <f aca="false">IF(D7&gt;0,E7/D7,0)</f>
        <v>0.913188890504581</v>
      </c>
      <c r="O7" s="9" t="n">
        <f aca="false">IF(D7&gt;0,K7/D7,0)</f>
        <v>0</v>
      </c>
      <c r="P7" s="29" t="s">
        <v>310</v>
      </c>
      <c r="Q7" s="29" t="s">
        <v>311</v>
      </c>
      <c r="R7" s="29" t="s">
        <v>312</v>
      </c>
    </row>
    <row r="8" customFormat="false" ht="64.5" hidden="false" customHeight="true" outlineLevel="0" collapsed="false">
      <c r="A8" s="28" t="s">
        <v>70</v>
      </c>
      <c r="B8" s="29" t="s">
        <v>313</v>
      </c>
      <c r="C8" s="30" t="s">
        <v>314</v>
      </c>
      <c r="D8" s="33" t="n">
        <v>499230</v>
      </c>
      <c r="E8" s="32" t="n">
        <v>185189</v>
      </c>
      <c r="F8" s="32" t="n">
        <v>5644</v>
      </c>
      <c r="G8" s="32" t="n">
        <v>0</v>
      </c>
      <c r="H8" s="32" t="n">
        <v>7100</v>
      </c>
      <c r="I8" s="32" t="n">
        <v>680890</v>
      </c>
      <c r="J8" s="32" t="n">
        <v>687826</v>
      </c>
      <c r="K8" s="33" t="n">
        <v>0</v>
      </c>
      <c r="L8" s="33" t="n">
        <v>7112</v>
      </c>
      <c r="M8" s="32" t="n">
        <v>499230</v>
      </c>
      <c r="N8" s="9" t="n">
        <f aca="false">IF(D8&gt;0,E8/D8,0)</f>
        <v>0.370949261863269</v>
      </c>
      <c r="O8" s="9" t="n">
        <f aca="false">IF(D8&gt;0,K8/D8,0)</f>
        <v>0</v>
      </c>
      <c r="P8" s="29" t="s">
        <v>315</v>
      </c>
      <c r="Q8" s="29" t="s">
        <v>316</v>
      </c>
      <c r="R8" s="29" t="s">
        <v>317</v>
      </c>
    </row>
    <row r="9" customFormat="false" ht="64.5" hidden="false" customHeight="true" outlineLevel="0" collapsed="false">
      <c r="A9" s="28" t="s">
        <v>74</v>
      </c>
      <c r="B9" s="29" t="s">
        <v>318</v>
      </c>
      <c r="C9" s="30" t="s">
        <v>297</v>
      </c>
      <c r="D9" s="33" t="n">
        <v>277843</v>
      </c>
      <c r="E9" s="32" t="n">
        <v>43193</v>
      </c>
      <c r="F9" s="32" t="n">
        <v>3787</v>
      </c>
      <c r="G9" s="32" t="n">
        <v>0</v>
      </c>
      <c r="H9" s="32" t="n">
        <v>17845</v>
      </c>
      <c r="I9" s="32" t="n">
        <v>81027</v>
      </c>
      <c r="J9" s="32" t="n">
        <v>48751</v>
      </c>
      <c r="K9" s="33" t="n">
        <v>2118</v>
      </c>
      <c r="L9" s="33" t="n">
        <v>700</v>
      </c>
      <c r="M9" s="32" t="n">
        <v>292537</v>
      </c>
      <c r="N9" s="9" t="n">
        <f aca="false">IF(D9&gt;0,E9/D9,0)</f>
        <v>0.155458298391538</v>
      </c>
      <c r="O9" s="9" t="n">
        <f aca="false">IF(D9&gt;0,K9/D9,0)</f>
        <v>0.00762301011722448</v>
      </c>
      <c r="P9" s="29" t="s">
        <v>319</v>
      </c>
      <c r="Q9" s="29" t="s">
        <v>320</v>
      </c>
      <c r="R9" s="29" t="s">
        <v>321</v>
      </c>
    </row>
    <row r="10" customFormat="false" ht="64.5" hidden="false" customHeight="true" outlineLevel="0" collapsed="false">
      <c r="A10" s="28" t="s">
        <v>164</v>
      </c>
      <c r="B10" s="29" t="s">
        <v>322</v>
      </c>
      <c r="C10" s="30" t="s">
        <v>297</v>
      </c>
      <c r="D10" s="31" t="n">
        <v>82017</v>
      </c>
      <c r="E10" s="32" t="n">
        <v>36413</v>
      </c>
      <c r="F10" s="32" t="n">
        <v>0</v>
      </c>
      <c r="G10" s="32" t="n">
        <v>0</v>
      </c>
      <c r="H10" s="32" t="n">
        <v>3054</v>
      </c>
      <c r="I10" s="32" t="n">
        <v>0</v>
      </c>
      <c r="J10" s="32" t="n">
        <v>0</v>
      </c>
      <c r="K10" s="33" t="n">
        <v>0</v>
      </c>
      <c r="L10" s="33" t="n">
        <v>0</v>
      </c>
      <c r="M10" s="32" t="n">
        <v>83408</v>
      </c>
      <c r="N10" s="9" t="n">
        <f aca="false">IF(D10&gt;0,E10/D10,0)</f>
        <v>0.443968933269932</v>
      </c>
      <c r="O10" s="9" t="n">
        <f aca="false">IF(D10&gt;0,K10/D10,0)</f>
        <v>0</v>
      </c>
      <c r="P10" s="29" t="s">
        <v>323</v>
      </c>
      <c r="Q10" s="29" t="s">
        <v>324</v>
      </c>
      <c r="R10" s="29" t="s">
        <v>325</v>
      </c>
    </row>
    <row r="11" customFormat="false" ht="64.5" hidden="false" customHeight="true" outlineLevel="0" collapsed="false">
      <c r="A11" s="28" t="s">
        <v>72</v>
      </c>
      <c r="B11" s="29" t="s">
        <v>326</v>
      </c>
      <c r="C11" s="30" t="s">
        <v>297</v>
      </c>
      <c r="D11" s="33" t="n">
        <v>433330</v>
      </c>
      <c r="E11" s="32" t="n">
        <v>97620</v>
      </c>
      <c r="F11" s="32" t="n">
        <v>0</v>
      </c>
      <c r="G11" s="32" t="n">
        <v>0</v>
      </c>
      <c r="H11" s="32" t="n">
        <v>15501</v>
      </c>
      <c r="I11" s="32" t="n">
        <v>558367</v>
      </c>
      <c r="J11" s="32" t="n">
        <v>185247</v>
      </c>
      <c r="K11" s="33" t="n">
        <v>28548</v>
      </c>
      <c r="L11" s="33" t="n">
        <v>23594</v>
      </c>
      <c r="M11" s="32" t="n">
        <v>570960</v>
      </c>
      <c r="N11" s="9" t="n">
        <f aca="false">IF(D11&gt;0,E11/D11,0)</f>
        <v>0.225278655989661</v>
      </c>
      <c r="O11" s="9" t="n">
        <f aca="false">IF(D11&gt;0,K11/D11,0)</f>
        <v>0.065880506773129</v>
      </c>
      <c r="P11" s="29" t="s">
        <v>327</v>
      </c>
      <c r="Q11" s="29" t="s">
        <v>328</v>
      </c>
      <c r="R11" s="29" t="s">
        <v>329</v>
      </c>
    </row>
  </sheetData>
  <mergeCells count="1">
    <mergeCell ref="A1:R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22" width="25"/>
    <col collapsed="false" customWidth="true" hidden="false" outlineLevel="0" max="2" min="2" style="22" width="20"/>
    <col collapsed="false" customWidth="true" hidden="false" outlineLevel="0" max="3" min="3" style="22" width="12"/>
    <col collapsed="false" customWidth="true" hidden="false" outlineLevel="0" max="13" min="4" style="22" width="13"/>
    <col collapsed="false" customWidth="true" hidden="false" outlineLevel="0" max="15" min="14" style="22" width="10"/>
    <col collapsed="false" customWidth="true" hidden="false" outlineLevel="0" max="16" min="16" style="22" width="28"/>
    <col collapsed="false" customWidth="true" hidden="false" outlineLevel="0" max="17" min="17" style="22" width="45"/>
    <col collapsed="false" customWidth="true" hidden="false" outlineLevel="0" max="18" min="18" style="22" width="55"/>
  </cols>
  <sheetData>
    <row r="1" customFormat="false" ht="15" hidden="false" customHeight="true" outlineLevel="0" collapsed="false">
      <c r="A1" s="26" t="s">
        <v>274</v>
      </c>
      <c r="B1" s="26"/>
      <c r="C1" s="26"/>
      <c r="D1" s="26"/>
      <c r="E1" s="26"/>
      <c r="F1" s="26"/>
      <c r="G1" s="26"/>
      <c r="H1" s="26"/>
      <c r="I1" s="26"/>
      <c r="J1" s="26"/>
      <c r="K1" s="26"/>
      <c r="L1" s="26"/>
      <c r="M1" s="26"/>
      <c r="N1" s="26"/>
      <c r="O1" s="26"/>
      <c r="P1" s="26"/>
      <c r="Q1" s="26"/>
      <c r="R1" s="26"/>
    </row>
    <row r="2" customFormat="false" ht="39.75" hidden="false" customHeight="true" outlineLevel="0" collapsed="false">
      <c r="A2" s="27" t="s">
        <v>4</v>
      </c>
      <c r="B2" s="27" t="s">
        <v>275</v>
      </c>
      <c r="C2" s="27" t="s">
        <v>276</v>
      </c>
      <c r="D2" s="27" t="s">
        <v>277</v>
      </c>
      <c r="E2" s="27" t="s">
        <v>278</v>
      </c>
      <c r="F2" s="27" t="s">
        <v>279</v>
      </c>
      <c r="G2" s="27" t="s">
        <v>280</v>
      </c>
      <c r="H2" s="27" t="s">
        <v>281</v>
      </c>
      <c r="I2" s="27" t="s">
        <v>282</v>
      </c>
      <c r="J2" s="27" t="s">
        <v>283</v>
      </c>
      <c r="K2" s="27" t="s">
        <v>284</v>
      </c>
      <c r="L2" s="27" t="s">
        <v>285</v>
      </c>
      <c r="M2" s="27" t="s">
        <v>286</v>
      </c>
      <c r="N2" s="27" t="s">
        <v>287</v>
      </c>
      <c r="O2" s="27" t="s">
        <v>288</v>
      </c>
      <c r="P2" s="27" t="s">
        <v>191</v>
      </c>
      <c r="Q2" s="27" t="s">
        <v>289</v>
      </c>
      <c r="R2" s="27" t="s">
        <v>290</v>
      </c>
    </row>
    <row r="3" customFormat="false" ht="64.5" hidden="false" customHeight="true" outlineLevel="0" collapsed="false">
      <c r="A3" s="34" t="s">
        <v>20</v>
      </c>
      <c r="B3" s="29" t="s">
        <v>330</v>
      </c>
      <c r="C3" s="30" t="s">
        <v>331</v>
      </c>
      <c r="D3" s="33" t="n">
        <v>1264580</v>
      </c>
      <c r="E3" s="32" t="n">
        <v>567848</v>
      </c>
      <c r="F3" s="32" t="n">
        <v>36656</v>
      </c>
      <c r="G3" s="32" t="n">
        <v>0</v>
      </c>
      <c r="H3" s="32" t="n">
        <v>18325</v>
      </c>
      <c r="I3" s="32" t="n">
        <v>1241207</v>
      </c>
      <c r="J3" s="32" t="n">
        <v>378849</v>
      </c>
      <c r="K3" s="33" t="n">
        <v>4659</v>
      </c>
      <c r="L3" s="33" t="n">
        <v>12073</v>
      </c>
      <c r="M3" s="32" t="n">
        <v>1261569</v>
      </c>
      <c r="N3" s="9" t="n">
        <f aca="false">IF(D3&gt;0,E3/D3,0)</f>
        <v>0.4490407882459</v>
      </c>
      <c r="O3" s="9" t="n">
        <f aca="false">IF(D3&gt;0,K3/D3,0)</f>
        <v>0.00368422717423967</v>
      </c>
      <c r="P3" s="29" t="s">
        <v>332</v>
      </c>
      <c r="Q3" s="29" t="s">
        <v>333</v>
      </c>
      <c r="R3" s="29" t="s">
        <v>334</v>
      </c>
    </row>
    <row r="4" customFormat="false" ht="64.5" hidden="false" customHeight="true" outlineLevel="0" collapsed="false">
      <c r="A4" s="28" t="s">
        <v>68</v>
      </c>
      <c r="B4" s="29" t="s">
        <v>335</v>
      </c>
      <c r="C4" s="30" t="s">
        <v>331</v>
      </c>
      <c r="D4" s="33" t="n">
        <v>896893</v>
      </c>
      <c r="E4" s="32" t="n">
        <v>353915</v>
      </c>
      <c r="F4" s="32" t="n">
        <v>28659</v>
      </c>
      <c r="G4" s="32" t="n">
        <v>48075</v>
      </c>
      <c r="H4" s="32" t="n">
        <v>57130</v>
      </c>
      <c r="I4" s="32" t="n">
        <v>1184277</v>
      </c>
      <c r="J4" s="32" t="n">
        <v>158109</v>
      </c>
      <c r="K4" s="33" t="n">
        <v>18099</v>
      </c>
      <c r="L4" s="33" t="n">
        <v>8173</v>
      </c>
      <c r="M4" s="32" t="n">
        <v>840236</v>
      </c>
      <c r="N4" s="9" t="n">
        <f aca="false">IF(D3&gt;0,E3/D3,0)</f>
        <v>0.4490407882459</v>
      </c>
      <c r="O4" s="9" t="n">
        <f aca="false">IF(D3&gt;0,K3/D3,0)</f>
        <v>0.00368422717423967</v>
      </c>
      <c r="P4" s="29" t="s">
        <v>336</v>
      </c>
      <c r="Q4" s="29" t="s">
        <v>337</v>
      </c>
      <c r="R4" s="29" t="s">
        <v>338</v>
      </c>
    </row>
    <row r="5" customFormat="false" ht="64.5" hidden="false" customHeight="true" outlineLevel="0" collapsed="false">
      <c r="A5" s="28" t="s">
        <v>100</v>
      </c>
      <c r="B5" s="29" t="s">
        <v>339</v>
      </c>
      <c r="C5" s="30" t="s">
        <v>292</v>
      </c>
      <c r="D5" s="33" t="n">
        <v>1073795</v>
      </c>
      <c r="E5" s="32" t="n">
        <v>316386</v>
      </c>
      <c r="F5" s="32" t="n">
        <v>33820</v>
      </c>
      <c r="G5" s="32" t="n">
        <v>0</v>
      </c>
      <c r="H5" s="32" t="n">
        <v>102796</v>
      </c>
      <c r="I5" s="32" t="n">
        <v>1713216</v>
      </c>
      <c r="J5" s="32" t="n">
        <v>423881</v>
      </c>
      <c r="K5" s="31" t="n">
        <v>50121</v>
      </c>
      <c r="L5" s="33" t="n">
        <v>2554</v>
      </c>
      <c r="M5" s="32" t="n">
        <v>1144550</v>
      </c>
      <c r="N5" s="9" t="n">
        <f aca="false">IF(D4&gt;0,E4/D4,0)</f>
        <v>0.394601139712318</v>
      </c>
      <c r="O5" s="9" t="n">
        <f aca="false">IF(D4&gt;0,K4/D4,0)</f>
        <v>0.020179664686869</v>
      </c>
      <c r="P5" s="29" t="s">
        <v>323</v>
      </c>
      <c r="Q5" s="29" t="s">
        <v>323</v>
      </c>
      <c r="R5" s="29" t="s">
        <v>340</v>
      </c>
    </row>
    <row r="6" customFormat="false" ht="64.5" hidden="false" customHeight="true" outlineLevel="0" collapsed="false">
      <c r="A6" s="28" t="s">
        <v>32</v>
      </c>
      <c r="B6" s="29" t="s">
        <v>341</v>
      </c>
      <c r="C6" s="30" t="s">
        <v>331</v>
      </c>
      <c r="D6" s="33" t="n">
        <v>1720906</v>
      </c>
      <c r="E6" s="32" t="n">
        <v>3086318</v>
      </c>
      <c r="F6" s="32" t="n">
        <v>63378</v>
      </c>
      <c r="G6" s="32" t="n">
        <v>0</v>
      </c>
      <c r="H6" s="32" t="n">
        <v>14916</v>
      </c>
      <c r="I6" s="32" t="n">
        <v>5661994</v>
      </c>
      <c r="J6" s="32" t="n">
        <v>4427724</v>
      </c>
      <c r="K6" s="33" t="n">
        <v>4731</v>
      </c>
      <c r="L6" s="33" t="n">
        <v>10352</v>
      </c>
      <c r="M6" s="32" t="n">
        <v>1891255</v>
      </c>
      <c r="N6" s="9" t="n">
        <f aca="false">IF(D5&gt;0,E5/D5,0)</f>
        <v>0.294642832197952</v>
      </c>
      <c r="O6" s="9" t="n">
        <f aca="false">IF(D5&gt;0,K5/D5,0)</f>
        <v>0.0466765071545314</v>
      </c>
      <c r="P6" s="29" t="s">
        <v>323</v>
      </c>
      <c r="Q6" s="29" t="s">
        <v>323</v>
      </c>
      <c r="R6" s="29" t="s">
        <v>342</v>
      </c>
    </row>
    <row r="7" customFormat="false" ht="64.5" hidden="false" customHeight="true" outlineLevel="0" collapsed="false">
      <c r="A7" s="28" t="s">
        <v>122</v>
      </c>
      <c r="B7" s="29" t="s">
        <v>343</v>
      </c>
      <c r="C7" s="30" t="s">
        <v>331</v>
      </c>
      <c r="D7" s="31" t="n">
        <v>2619221</v>
      </c>
      <c r="E7" s="32" t="n">
        <v>1248721</v>
      </c>
      <c r="F7" s="32" t="n">
        <v>190646</v>
      </c>
      <c r="G7" s="32" t="n">
        <v>0</v>
      </c>
      <c r="H7" s="32" t="n">
        <v>60404</v>
      </c>
      <c r="I7" s="32" t="n">
        <v>4129280</v>
      </c>
      <c r="J7" s="32" t="n">
        <v>2202920</v>
      </c>
      <c r="K7" s="33" t="n">
        <v>21729</v>
      </c>
      <c r="L7" s="33" t="n">
        <v>20257</v>
      </c>
      <c r="M7" s="32" t="n">
        <v>2585734</v>
      </c>
      <c r="N7" s="9" t="n">
        <f aca="false">IF(D6&gt;0,E6/D6,0)</f>
        <v>1.79342625338049</v>
      </c>
      <c r="O7" s="9" t="n">
        <f aca="false">IF(D6&gt;0,K6/D6,0)</f>
        <v>0.00274913330536357</v>
      </c>
      <c r="P7" s="29" t="s">
        <v>323</v>
      </c>
      <c r="Q7" s="29" t="s">
        <v>323</v>
      </c>
      <c r="R7" s="29" t="s">
        <v>344</v>
      </c>
    </row>
    <row r="8" customFormat="false" ht="64.5" hidden="false" customHeight="true" outlineLevel="0" collapsed="false">
      <c r="A8" s="28" t="s">
        <v>92</v>
      </c>
      <c r="B8" s="29" t="s">
        <v>345</v>
      </c>
      <c r="C8" s="30" t="s">
        <v>331</v>
      </c>
      <c r="D8" s="31" t="n">
        <v>2084910</v>
      </c>
      <c r="E8" s="32" t="n">
        <v>614190</v>
      </c>
      <c r="F8" s="32" t="n">
        <v>95064</v>
      </c>
      <c r="G8" s="32" t="n">
        <v>90603</v>
      </c>
      <c r="H8" s="32" t="n">
        <v>75928</v>
      </c>
      <c r="I8" s="32" t="n">
        <v>2150339</v>
      </c>
      <c r="J8" s="32" t="n">
        <v>504181</v>
      </c>
      <c r="K8" s="33" t="n">
        <v>29913</v>
      </c>
      <c r="L8" s="33" t="n">
        <v>14785</v>
      </c>
      <c r="M8" s="32" t="n">
        <v>2231599</v>
      </c>
      <c r="N8" s="9" t="n">
        <f aca="false">IF(D7&gt;0,E7/D7,0)</f>
        <v>0.476752820781446</v>
      </c>
      <c r="O8" s="9" t="n">
        <f aca="false">IF(D7&gt;0,K7/D7,0)</f>
        <v>0.00829597807897844</v>
      </c>
      <c r="P8" s="29" t="s">
        <v>323</v>
      </c>
      <c r="Q8" s="29" t="s">
        <v>323</v>
      </c>
      <c r="R8" s="29" t="s">
        <v>346</v>
      </c>
    </row>
    <row r="9" customFormat="false" ht="64.5" hidden="false" customHeight="true" outlineLevel="0" collapsed="false">
      <c r="A9" s="28" t="s">
        <v>51</v>
      </c>
      <c r="B9" s="29" t="s">
        <v>347</v>
      </c>
      <c r="C9" s="30" t="s">
        <v>297</v>
      </c>
      <c r="D9" s="33" t="n">
        <v>377044</v>
      </c>
      <c r="E9" s="32" t="n">
        <v>114335</v>
      </c>
      <c r="F9" s="32" t="n">
        <v>0</v>
      </c>
      <c r="G9" s="32" t="n">
        <v>0</v>
      </c>
      <c r="H9" s="32" t="n">
        <v>75984</v>
      </c>
      <c r="I9" s="32" t="n">
        <v>518239</v>
      </c>
      <c r="J9" s="32" t="n">
        <v>14190</v>
      </c>
      <c r="K9" s="33" t="n">
        <v>22455</v>
      </c>
      <c r="L9" s="33" t="n">
        <v>5964</v>
      </c>
      <c r="M9" s="32" t="n">
        <v>406504</v>
      </c>
      <c r="N9" s="9" t="n">
        <f aca="false">IF(D8&gt;0,E8/D8,0)</f>
        <v>0.294588255608156</v>
      </c>
      <c r="O9" s="9" t="n">
        <f aca="false">IF(D8&gt;0,K8/D8,0)</f>
        <v>0.014347381901377</v>
      </c>
      <c r="P9" s="29" t="s">
        <v>323</v>
      </c>
      <c r="Q9" s="29" t="s">
        <v>323</v>
      </c>
      <c r="R9" s="29" t="s">
        <v>348</v>
      </c>
    </row>
    <row r="10" customFormat="false" ht="64.5" hidden="false" customHeight="true" outlineLevel="0" collapsed="false">
      <c r="A10" s="28" t="s">
        <v>43</v>
      </c>
      <c r="B10" s="29" t="s">
        <v>349</v>
      </c>
      <c r="C10" s="30" t="s">
        <v>331</v>
      </c>
      <c r="D10" s="33" t="n">
        <v>996445</v>
      </c>
      <c r="E10" s="32" t="n">
        <v>509994</v>
      </c>
      <c r="F10" s="32" t="n">
        <v>42534</v>
      </c>
      <c r="G10" s="32" t="n">
        <v>5185</v>
      </c>
      <c r="H10" s="32" t="n">
        <v>32187</v>
      </c>
      <c r="I10" s="32" t="n">
        <v>544722</v>
      </c>
      <c r="J10" s="32" t="n">
        <v>56712</v>
      </c>
      <c r="K10" s="33" t="n">
        <v>13078</v>
      </c>
      <c r="L10" s="33" t="n">
        <v>14915</v>
      </c>
      <c r="M10" s="32" t="n">
        <v>913147</v>
      </c>
      <c r="N10" s="9" t="n">
        <f aca="false">IF(D9&gt;0,E9/D9,0)</f>
        <v>0.303240470608205</v>
      </c>
      <c r="O10" s="9" t="n">
        <f aca="false">IF(D9&gt;0,K9/D9,0)</f>
        <v>0.0595553834565727</v>
      </c>
      <c r="P10" s="29" t="s">
        <v>323</v>
      </c>
      <c r="Q10" s="29" t="s">
        <v>323</v>
      </c>
      <c r="R10" s="29" t="s">
        <v>350</v>
      </c>
    </row>
    <row r="11" customFormat="false" ht="64.5" hidden="false" customHeight="true" outlineLevel="0" collapsed="false">
      <c r="A11" s="28" t="s">
        <v>66</v>
      </c>
      <c r="B11" s="29" t="s">
        <v>351</v>
      </c>
      <c r="C11" s="30" t="s">
        <v>297</v>
      </c>
      <c r="D11" s="33" t="n">
        <v>1399848</v>
      </c>
      <c r="E11" s="32" t="n">
        <v>725137</v>
      </c>
      <c r="F11" s="32" t="n">
        <v>56195</v>
      </c>
      <c r="G11" s="32" t="n">
        <v>0</v>
      </c>
      <c r="H11" s="32" t="n">
        <v>128588</v>
      </c>
      <c r="I11" s="32" t="n">
        <v>787098</v>
      </c>
      <c r="J11" s="32" t="n">
        <v>63621</v>
      </c>
      <c r="K11" s="33" t="n">
        <v>25958</v>
      </c>
      <c r="L11" s="33" t="n">
        <v>7578</v>
      </c>
      <c r="M11" s="32" t="n">
        <v>1199376</v>
      </c>
      <c r="N11" s="9" t="n">
        <f aca="false">IF(D10&gt;0,E10/D10,0)</f>
        <v>0.51181349698177</v>
      </c>
      <c r="O11" s="9" t="n">
        <f aca="false">IF(D10&gt;0,K10/D10,0)</f>
        <v>0.0131246581597579</v>
      </c>
      <c r="P11" s="29" t="s">
        <v>323</v>
      </c>
      <c r="Q11" s="29" t="s">
        <v>323</v>
      </c>
      <c r="R11" s="29" t="s">
        <v>352</v>
      </c>
    </row>
    <row r="12" customFormat="false" ht="64.5" hidden="false" customHeight="true" outlineLevel="0" collapsed="false">
      <c r="A12" s="28" t="s">
        <v>150</v>
      </c>
      <c r="B12" s="29" t="s">
        <v>353</v>
      </c>
      <c r="C12" s="30" t="s">
        <v>292</v>
      </c>
      <c r="D12" s="31" t="n">
        <v>6866319</v>
      </c>
      <c r="E12" s="32" t="n">
        <v>2246612</v>
      </c>
      <c r="F12" s="32" t="n">
        <v>331306</v>
      </c>
      <c r="G12" s="32" t="n">
        <v>10000</v>
      </c>
      <c r="H12" s="32" t="n">
        <v>23051</v>
      </c>
      <c r="I12" s="32" t="n">
        <v>6610904</v>
      </c>
      <c r="J12" s="32" t="n">
        <v>4537147</v>
      </c>
      <c r="K12" s="33" t="n">
        <v>30768</v>
      </c>
      <c r="L12" s="31" t="n">
        <v>29210</v>
      </c>
      <c r="M12" s="32" t="n">
        <v>7510113</v>
      </c>
      <c r="N12" s="9" t="n">
        <f aca="false">IF(D11&gt;0,E11/D11,0)</f>
        <v>0.518011241220475</v>
      </c>
      <c r="O12" s="9" t="n">
        <f aca="false">IF(D11&gt;0,K11/D11,0)</f>
        <v>0.0185434418594019</v>
      </c>
      <c r="P12" s="29" t="s">
        <v>354</v>
      </c>
      <c r="Q12" s="29" t="s">
        <v>355</v>
      </c>
      <c r="R12" s="29" t="s">
        <v>356</v>
      </c>
    </row>
    <row r="13" customFormat="false" ht="64.5" hidden="false" customHeight="true" outlineLevel="0" collapsed="false">
      <c r="A13" s="28" t="s">
        <v>152</v>
      </c>
      <c r="B13" s="29" t="s">
        <v>357</v>
      </c>
      <c r="C13" s="30" t="s">
        <v>292</v>
      </c>
      <c r="D13" s="31" t="n">
        <v>5815997</v>
      </c>
      <c r="E13" s="32" t="n">
        <v>1882887</v>
      </c>
      <c r="F13" s="32" t="n">
        <v>234406</v>
      </c>
      <c r="G13" s="32" t="n">
        <v>0</v>
      </c>
      <c r="H13" s="32" t="n">
        <v>89898</v>
      </c>
      <c r="I13" s="32" t="n">
        <v>8305414</v>
      </c>
      <c r="J13" s="32" t="n">
        <v>3304743</v>
      </c>
      <c r="K13" s="31" t="n">
        <v>52848</v>
      </c>
      <c r="L13" s="31" t="n">
        <v>30218</v>
      </c>
      <c r="M13" s="32" t="n">
        <v>5486250</v>
      </c>
      <c r="N13" s="9" t="n">
        <f aca="false">IF(D12&gt;0,E12/D12,0)</f>
        <v>0.327193070988983</v>
      </c>
      <c r="O13" s="9" t="n">
        <f aca="false">IF(D12&gt;0,K12/D12,0)</f>
        <v>0.00448100357702577</v>
      </c>
      <c r="P13" s="29" t="s">
        <v>358</v>
      </c>
      <c r="Q13" s="29" t="s">
        <v>359</v>
      </c>
      <c r="R13" s="29" t="s">
        <v>360</v>
      </c>
    </row>
    <row r="14" customFormat="false" ht="64.5" hidden="false" customHeight="true" outlineLevel="0" collapsed="false">
      <c r="A14" s="28" t="s">
        <v>64</v>
      </c>
      <c r="B14" s="29" t="s">
        <v>361</v>
      </c>
      <c r="C14" s="30" t="s">
        <v>331</v>
      </c>
      <c r="D14" s="33" t="n">
        <v>1589145</v>
      </c>
      <c r="E14" s="32" t="n">
        <v>466549</v>
      </c>
      <c r="F14" s="32" t="n">
        <v>87527</v>
      </c>
      <c r="G14" s="32" t="n">
        <v>6493</v>
      </c>
      <c r="H14" s="32" t="n">
        <v>28415</v>
      </c>
      <c r="I14" s="32" t="n">
        <v>982215</v>
      </c>
      <c r="J14" s="32" t="n">
        <v>307740</v>
      </c>
      <c r="K14" s="33" t="n">
        <v>13843</v>
      </c>
      <c r="L14" s="31" t="n">
        <v>44036</v>
      </c>
      <c r="M14" s="32" t="n">
        <v>1715998</v>
      </c>
      <c r="N14" s="9" t="n">
        <f aca="false">IF(D13&gt;0,E13/D13,0)</f>
        <v>0.323742773594966</v>
      </c>
      <c r="O14" s="9" t="n">
        <f aca="false">IF(D13&gt;0,K13/D13,0)</f>
        <v>0.00908666218362905</v>
      </c>
      <c r="P14" s="29" t="s">
        <v>323</v>
      </c>
      <c r="Q14" s="29" t="s">
        <v>323</v>
      </c>
      <c r="R14" s="29" t="s">
        <v>362</v>
      </c>
    </row>
    <row r="15" customFormat="false" ht="64.5" hidden="false" customHeight="true" outlineLevel="0" collapsed="false">
      <c r="A15" s="28" t="s">
        <v>148</v>
      </c>
      <c r="B15" s="29" t="s">
        <v>363</v>
      </c>
      <c r="C15" s="30" t="s">
        <v>331</v>
      </c>
      <c r="D15" s="31" t="n">
        <v>7552645</v>
      </c>
      <c r="E15" s="32" t="n">
        <v>2488924</v>
      </c>
      <c r="F15" s="32" t="n">
        <v>218053</v>
      </c>
      <c r="G15" s="32" t="n">
        <v>0</v>
      </c>
      <c r="H15" s="32" t="n">
        <v>37412</v>
      </c>
      <c r="I15" s="32" t="n">
        <v>16649796</v>
      </c>
      <c r="J15" s="32" t="n">
        <v>6016094</v>
      </c>
      <c r="K15" s="33" t="n">
        <v>35088</v>
      </c>
      <c r="L15" s="31" t="n">
        <v>363868</v>
      </c>
      <c r="M15" s="32" t="n">
        <v>7920514</v>
      </c>
      <c r="N15" s="9" t="n">
        <f aca="false">IF(D14&gt;0,E14/D14,0)</f>
        <v>0.29358491515878</v>
      </c>
      <c r="O15" s="9" t="n">
        <f aca="false">IF(D14&gt;0,K14/D14,0)</f>
        <v>0.0087109735109131</v>
      </c>
      <c r="P15" s="29" t="s">
        <v>364</v>
      </c>
      <c r="Q15" s="29" t="s">
        <v>365</v>
      </c>
      <c r="R15" s="29" t="s">
        <v>366</v>
      </c>
    </row>
    <row r="16" customFormat="false" ht="64.5" hidden="false" customHeight="true" outlineLevel="0" collapsed="false">
      <c r="A16" s="28" t="s">
        <v>140</v>
      </c>
      <c r="B16" s="29" t="s">
        <v>367</v>
      </c>
      <c r="C16" s="30" t="s">
        <v>292</v>
      </c>
      <c r="D16" s="31" t="n">
        <v>13824513</v>
      </c>
      <c r="E16" s="32" t="n">
        <v>2976005</v>
      </c>
      <c r="F16" s="32" t="n">
        <v>733</v>
      </c>
      <c r="G16" s="32" t="n">
        <v>0</v>
      </c>
      <c r="H16" s="32" t="n">
        <v>0</v>
      </c>
      <c r="I16" s="32" t="n">
        <v>37399132</v>
      </c>
      <c r="J16" s="32" t="n">
        <v>14778339</v>
      </c>
      <c r="K16" s="33" t="n">
        <v>0</v>
      </c>
      <c r="L16" s="31" t="n">
        <v>43154</v>
      </c>
      <c r="M16" s="32" t="n">
        <v>13039418</v>
      </c>
      <c r="N16" s="9" t="n">
        <f aca="false">IF(D15&gt;0,E15/D15,0)</f>
        <v>0.329543358651175</v>
      </c>
      <c r="O16" s="9" t="n">
        <f aca="false">IF(D15&gt;0,K15/D15,0)</f>
        <v>0.00464578965382326</v>
      </c>
      <c r="P16" s="29" t="s">
        <v>368</v>
      </c>
      <c r="Q16" s="29" t="s">
        <v>369</v>
      </c>
      <c r="R16" s="29" t="s">
        <v>370</v>
      </c>
    </row>
    <row r="17" customFormat="false" ht="64.5" hidden="false" customHeight="true" outlineLevel="0" collapsed="false">
      <c r="A17" s="28" t="s">
        <v>90</v>
      </c>
      <c r="B17" s="29" t="s">
        <v>371</v>
      </c>
      <c r="C17" s="30" t="s">
        <v>292</v>
      </c>
      <c r="D17" s="31" t="n">
        <v>2482625</v>
      </c>
      <c r="E17" s="32" t="n">
        <v>918308</v>
      </c>
      <c r="F17" s="32" t="n">
        <v>57198</v>
      </c>
      <c r="G17" s="32" t="n">
        <v>0</v>
      </c>
      <c r="H17" s="32" t="n">
        <v>18855</v>
      </c>
      <c r="I17" s="32" t="n">
        <v>4295933</v>
      </c>
      <c r="J17" s="32" t="n">
        <v>1206783</v>
      </c>
      <c r="K17" s="33" t="n">
        <v>7610</v>
      </c>
      <c r="L17" s="33" t="n">
        <v>2554</v>
      </c>
      <c r="M17" s="32" t="n">
        <v>2276110</v>
      </c>
      <c r="N17" s="9" t="n">
        <f aca="false">IF(D16&gt;0,E16/D16,0)</f>
        <v>0.215270150926836</v>
      </c>
      <c r="O17" s="9" t="n">
        <f aca="false">IF(D16&gt;0,K16/D16,0)</f>
        <v>0</v>
      </c>
      <c r="P17" s="29" t="s">
        <v>372</v>
      </c>
      <c r="Q17" s="29" t="s">
        <v>373</v>
      </c>
      <c r="R17" s="29" t="s">
        <v>374</v>
      </c>
    </row>
    <row r="18" customFormat="false" ht="64.5" hidden="false" customHeight="true" outlineLevel="0" collapsed="false">
      <c r="A18" s="28" t="s">
        <v>156</v>
      </c>
      <c r="B18" s="29" t="s">
        <v>375</v>
      </c>
      <c r="C18" s="30" t="s">
        <v>292</v>
      </c>
      <c r="D18" s="31" t="n">
        <v>4156009</v>
      </c>
      <c r="E18" s="32" t="n">
        <v>65830</v>
      </c>
      <c r="F18" s="32" t="n">
        <v>0</v>
      </c>
      <c r="G18" s="32" t="n">
        <v>0</v>
      </c>
      <c r="H18" s="32" t="n">
        <v>0</v>
      </c>
      <c r="I18" s="32" t="n">
        <v>12155101</v>
      </c>
      <c r="J18" s="32" t="n">
        <v>3924967</v>
      </c>
      <c r="K18" s="33" t="n">
        <v>0</v>
      </c>
      <c r="L18" s="31" t="n">
        <v>47739</v>
      </c>
      <c r="M18" s="32" t="n">
        <v>4032968</v>
      </c>
      <c r="N18" s="9" t="n">
        <f aca="false">IF(D17&gt;0,E17/D17,0)</f>
        <v>0.36989396304315</v>
      </c>
      <c r="O18" s="9" t="n">
        <f aca="false">IF(D17&gt;0,K17/D17,0)</f>
        <v>0.00306530386183979</v>
      </c>
      <c r="P18" s="29" t="s">
        <v>376</v>
      </c>
      <c r="Q18" s="29" t="s">
        <v>377</v>
      </c>
      <c r="R18" s="29" t="s">
        <v>378</v>
      </c>
    </row>
    <row r="19" customFormat="false" ht="64.5" hidden="false" customHeight="true" outlineLevel="0" collapsed="false">
      <c r="A19" s="28" t="s">
        <v>160</v>
      </c>
      <c r="B19" s="29" t="s">
        <v>379</v>
      </c>
      <c r="C19" s="30" t="s">
        <v>297</v>
      </c>
      <c r="D19" s="31" t="n">
        <v>3818841</v>
      </c>
      <c r="E19" s="32" t="n">
        <v>1250030</v>
      </c>
      <c r="F19" s="32" t="n">
        <v>107572</v>
      </c>
      <c r="G19" s="32" t="n">
        <v>0</v>
      </c>
      <c r="H19" s="32" t="n">
        <v>45971</v>
      </c>
      <c r="I19" s="32" t="n">
        <v>6199858</v>
      </c>
      <c r="J19" s="32" t="n">
        <v>3676031</v>
      </c>
      <c r="K19" s="31" t="n">
        <v>141977</v>
      </c>
      <c r="L19" s="31" t="n">
        <v>206530</v>
      </c>
      <c r="M19" s="32" t="n">
        <v>3705718</v>
      </c>
      <c r="N19" s="9" t="n">
        <f aca="false">IF(D18&gt;0,E18/D18,0)</f>
        <v>0.0158397154577865</v>
      </c>
      <c r="O19" s="9" t="n">
        <f aca="false">IF(D18&gt;0,K18/D18,0)</f>
        <v>0</v>
      </c>
      <c r="P19" s="29" t="s">
        <v>380</v>
      </c>
      <c r="Q19" s="29" t="s">
        <v>381</v>
      </c>
      <c r="R19" s="29" t="s">
        <v>382</v>
      </c>
    </row>
    <row r="20" customFormat="false" ht="64.5" hidden="false" customHeight="true" outlineLevel="0" collapsed="false">
      <c r="A20" s="28" t="s">
        <v>154</v>
      </c>
      <c r="B20" s="29" t="s">
        <v>383</v>
      </c>
      <c r="C20" s="30" t="s">
        <v>297</v>
      </c>
      <c r="D20" s="31" t="n">
        <v>5647051</v>
      </c>
      <c r="E20" s="32" t="n">
        <v>45548</v>
      </c>
      <c r="F20" s="32" t="n">
        <v>0</v>
      </c>
      <c r="G20" s="32" t="n">
        <v>0</v>
      </c>
      <c r="H20" s="32" t="n">
        <v>0</v>
      </c>
      <c r="I20" s="32" t="n">
        <v>8688841</v>
      </c>
      <c r="J20" s="32" t="n">
        <v>6207665</v>
      </c>
      <c r="K20" s="31" t="n">
        <v>84505</v>
      </c>
      <c r="L20" s="31" t="n">
        <v>66956</v>
      </c>
      <c r="M20" s="32" t="n">
        <v>7073895</v>
      </c>
      <c r="N20" s="9" t="n">
        <f aca="false">IF(D19&gt;0,E19/D19,0)</f>
        <v>0.327332297940658</v>
      </c>
      <c r="O20" s="9" t="n">
        <f aca="false">IF(D19&gt;0,K19/D19,0)</f>
        <v>0.037178033858964</v>
      </c>
      <c r="P20" s="29" t="s">
        <v>384</v>
      </c>
      <c r="Q20" s="29" t="s">
        <v>323</v>
      </c>
      <c r="R20" s="29" t="s">
        <v>385</v>
      </c>
    </row>
    <row r="21" customFormat="false" ht="64.5" hidden="false" customHeight="true" outlineLevel="0" collapsed="false">
      <c r="A21" s="28" t="s">
        <v>118</v>
      </c>
      <c r="B21" s="29" t="s">
        <v>386</v>
      </c>
      <c r="C21" s="30" t="s">
        <v>292</v>
      </c>
      <c r="D21" s="31" t="n">
        <v>3326443</v>
      </c>
      <c r="E21" s="32" t="n">
        <v>852654</v>
      </c>
      <c r="F21" s="32" t="n">
        <v>278751</v>
      </c>
      <c r="G21" s="32" t="n">
        <v>0</v>
      </c>
      <c r="H21" s="32" t="n">
        <v>49587</v>
      </c>
      <c r="I21" s="32" t="n">
        <v>5044102</v>
      </c>
      <c r="J21" s="32" t="n">
        <v>1463097</v>
      </c>
      <c r="K21" s="33" t="n">
        <v>13985</v>
      </c>
      <c r="L21" s="31" t="n">
        <v>66273</v>
      </c>
      <c r="M21" s="32" t="n">
        <v>3766265</v>
      </c>
      <c r="N21" s="9" t="n">
        <f aca="false">IF(D20&gt;0,E20/D20,0)</f>
        <v>0.00806580284116435</v>
      </c>
      <c r="O21" s="9" t="n">
        <f aca="false">IF(D20&gt;0,K20/D20,0)</f>
        <v>0.0149644478153287</v>
      </c>
      <c r="P21" s="29" t="s">
        <v>387</v>
      </c>
      <c r="Q21" s="29" t="s">
        <v>388</v>
      </c>
      <c r="R21" s="29" t="s">
        <v>389</v>
      </c>
    </row>
    <row r="22" customFormat="false" ht="64.5" hidden="false" customHeight="true" outlineLevel="0" collapsed="false">
      <c r="A22" s="28" t="s">
        <v>120</v>
      </c>
      <c r="B22" s="29" t="s">
        <v>390</v>
      </c>
      <c r="C22" s="30" t="s">
        <v>292</v>
      </c>
      <c r="D22" s="31" t="n">
        <v>2711082</v>
      </c>
      <c r="E22" s="32" t="n">
        <v>1024067</v>
      </c>
      <c r="F22" s="32" t="n">
        <v>12122</v>
      </c>
      <c r="G22" s="32" t="n">
        <v>13803</v>
      </c>
      <c r="H22" s="32" t="n">
        <v>53660</v>
      </c>
      <c r="I22" s="32" t="n">
        <v>4487917</v>
      </c>
      <c r="J22" s="32" t="n">
        <v>1400995</v>
      </c>
      <c r="K22" s="33" t="n">
        <v>26295</v>
      </c>
      <c r="L22" s="33" t="n">
        <v>20986</v>
      </c>
      <c r="M22" s="32" t="n">
        <v>2588254</v>
      </c>
      <c r="N22" s="9" t="n">
        <f aca="false">IF(D21&gt;0,E21/D21,0)</f>
        <v>0.256326051581224</v>
      </c>
      <c r="O22" s="9" t="n">
        <f aca="false">IF(D21&gt;0,K21/D21,0)</f>
        <v>0.00420419048214564</v>
      </c>
      <c r="P22" s="29" t="s">
        <v>323</v>
      </c>
      <c r="Q22" s="29" t="s">
        <v>323</v>
      </c>
      <c r="R22" s="29" t="s">
        <v>391</v>
      </c>
    </row>
    <row r="23" customFormat="false" ht="18.75" hidden="false" customHeight="true" outlineLevel="0" collapsed="false">
      <c r="A23" s="28" t="s">
        <v>37</v>
      </c>
      <c r="B23" s="29" t="s">
        <v>392</v>
      </c>
      <c r="C23" s="30" t="s">
        <v>292</v>
      </c>
      <c r="D23" s="33" t="n">
        <v>1421169</v>
      </c>
      <c r="E23" s="32" t="n">
        <v>338245</v>
      </c>
      <c r="F23" s="32" t="n">
        <v>29872</v>
      </c>
      <c r="G23" s="32" t="n">
        <v>0</v>
      </c>
      <c r="H23" s="32" t="n">
        <v>11339</v>
      </c>
      <c r="I23" s="32" t="n">
        <v>3000211</v>
      </c>
      <c r="J23" s="32" t="n">
        <v>404301</v>
      </c>
      <c r="K23" s="33" t="n">
        <v>3781</v>
      </c>
      <c r="L23" s="33" t="n">
        <v>9995</v>
      </c>
      <c r="M23" s="32" t="n">
        <v>1404868</v>
      </c>
      <c r="N23" s="9" t="n">
        <f aca="false">IF(D22&gt;0,E22/D22,0)</f>
        <v>0.377733687140411</v>
      </c>
      <c r="O23" s="9" t="n">
        <f aca="false">IF(D22&gt;0,K22/D22,0)</f>
        <v>0.00969907955569031</v>
      </c>
      <c r="P23" s="29" t="s">
        <v>323</v>
      </c>
      <c r="Q23" s="29" t="s">
        <v>323</v>
      </c>
      <c r="R23" s="29" t="s">
        <v>393</v>
      </c>
    </row>
  </sheetData>
  <mergeCells count="1">
    <mergeCell ref="A1:R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22" width="28"/>
    <col collapsed="false" customWidth="true" hidden="false" outlineLevel="0" max="2" min="2" style="22" width="18"/>
    <col collapsed="false" customWidth="true" hidden="false" outlineLevel="0" max="3" min="3" style="22" width="8"/>
    <col collapsed="false" customWidth="true" hidden="false" outlineLevel="0" max="4" min="4" style="22" width="25"/>
    <col collapsed="false" customWidth="true" hidden="false" outlineLevel="0" max="5" min="5" style="22" width="15"/>
    <col collapsed="false" customWidth="true" hidden="false" outlineLevel="0" max="6" min="6" style="22" width="18"/>
    <col collapsed="false" customWidth="true" hidden="false" outlineLevel="0" max="7" min="7" style="22" width="20"/>
    <col collapsed="false" customWidth="true" hidden="false" outlineLevel="0" max="8" min="8" style="22" width="65"/>
    <col collapsed="false" customWidth="true" hidden="false" outlineLevel="0" max="9" min="9" style="22" width="50"/>
    <col collapsed="false" customWidth="true" hidden="false" outlineLevel="0" max="10" min="10" style="22" width="10"/>
    <col collapsed="false" customWidth="true" hidden="false" outlineLevel="0" max="11" min="11" style="22" width="50"/>
  </cols>
  <sheetData>
    <row r="1" customFormat="false" ht="15" hidden="false" customHeight="true" outlineLevel="0" collapsed="false">
      <c r="A1" s="23" t="s">
        <v>4</v>
      </c>
      <c r="B1" s="23" t="s">
        <v>186</v>
      </c>
      <c r="C1" s="23" t="s">
        <v>187</v>
      </c>
      <c r="D1" s="23" t="s">
        <v>188</v>
      </c>
      <c r="E1" s="23" t="s">
        <v>189</v>
      </c>
      <c r="F1" s="23" t="s">
        <v>190</v>
      </c>
      <c r="G1" s="23" t="s">
        <v>191</v>
      </c>
      <c r="H1" s="23" t="s">
        <v>192</v>
      </c>
      <c r="I1" s="23" t="s">
        <v>193</v>
      </c>
      <c r="J1" s="23" t="s">
        <v>194</v>
      </c>
      <c r="K1" s="23" t="s">
        <v>195</v>
      </c>
    </row>
    <row r="2" customFormat="false" ht="23.25" hidden="false" customHeight="true" outlineLevel="0" collapsed="false">
      <c r="A2" s="24" t="s">
        <v>394</v>
      </c>
      <c r="B2" s="24" t="s">
        <v>217</v>
      </c>
      <c r="C2" s="24" t="s">
        <v>395</v>
      </c>
      <c r="D2" s="24" t="s">
        <v>396</v>
      </c>
      <c r="E2" s="24" t="s">
        <v>397</v>
      </c>
      <c r="F2" s="24" t="s">
        <v>199</v>
      </c>
      <c r="G2" s="24" t="s">
        <v>199</v>
      </c>
      <c r="H2" s="24" t="s">
        <v>398</v>
      </c>
      <c r="I2" s="24" t="s">
        <v>399</v>
      </c>
      <c r="J2" s="25" t="s">
        <v>203</v>
      </c>
      <c r="K2" s="24" t="s">
        <v>400</v>
      </c>
    </row>
    <row r="3" customFormat="false" ht="23.25" hidden="false" customHeight="true" outlineLevel="0" collapsed="false">
      <c r="A3" s="24" t="s">
        <v>401</v>
      </c>
      <c r="B3" s="24" t="s">
        <v>402</v>
      </c>
      <c r="C3" s="24" t="s">
        <v>395</v>
      </c>
      <c r="D3" s="24" t="s">
        <v>396</v>
      </c>
      <c r="E3" s="24" t="s">
        <v>403</v>
      </c>
      <c r="F3" s="24" t="s">
        <v>199</v>
      </c>
      <c r="G3" s="24" t="s">
        <v>199</v>
      </c>
      <c r="H3" s="24" t="s">
        <v>404</v>
      </c>
      <c r="I3" s="24" t="s">
        <v>405</v>
      </c>
      <c r="J3" s="25" t="s">
        <v>203</v>
      </c>
      <c r="K3" s="24" t="s">
        <v>406</v>
      </c>
    </row>
    <row r="4" customFormat="false" ht="15" hidden="false" customHeight="true" outlineLevel="0" collapsed="false">
      <c r="A4" s="24" t="s">
        <v>407</v>
      </c>
      <c r="B4" s="24" t="s">
        <v>408</v>
      </c>
      <c r="C4" s="24" t="s">
        <v>395</v>
      </c>
      <c r="D4" s="24" t="s">
        <v>396</v>
      </c>
      <c r="E4" s="24" t="s">
        <v>409</v>
      </c>
      <c r="F4" s="24" t="s">
        <v>199</v>
      </c>
      <c r="G4" s="24" t="s">
        <v>199</v>
      </c>
      <c r="H4" s="24" t="s">
        <v>410</v>
      </c>
      <c r="I4" s="24" t="s">
        <v>411</v>
      </c>
      <c r="J4" s="25" t="s">
        <v>203</v>
      </c>
      <c r="K4" s="24" t="s">
        <v>412</v>
      </c>
    </row>
    <row r="5" customFormat="false" ht="15" hidden="false" customHeight="true" outlineLevel="0" collapsed="false">
      <c r="A5" s="24" t="s">
        <v>413</v>
      </c>
      <c r="B5" s="24" t="s">
        <v>414</v>
      </c>
      <c r="C5" s="24" t="s">
        <v>395</v>
      </c>
      <c r="D5" s="24" t="s">
        <v>396</v>
      </c>
      <c r="E5" s="24" t="s">
        <v>415</v>
      </c>
      <c r="F5" s="24" t="s">
        <v>199</v>
      </c>
      <c r="G5" s="24" t="s">
        <v>199</v>
      </c>
      <c r="H5" s="24" t="s">
        <v>416</v>
      </c>
      <c r="I5" s="24" t="s">
        <v>417</v>
      </c>
      <c r="J5" s="25" t="s">
        <v>203</v>
      </c>
      <c r="K5" s="24" t="s">
        <v>418</v>
      </c>
    </row>
    <row r="6" customFormat="false" ht="23.25" hidden="false" customHeight="true" outlineLevel="0" collapsed="false">
      <c r="A6" s="24" t="s">
        <v>419</v>
      </c>
      <c r="B6" s="24" t="s">
        <v>414</v>
      </c>
      <c r="C6" s="24" t="s">
        <v>218</v>
      </c>
      <c r="D6" s="24" t="s">
        <v>396</v>
      </c>
      <c r="E6" s="24" t="s">
        <v>420</v>
      </c>
      <c r="F6" s="24" t="s">
        <v>199</v>
      </c>
      <c r="G6" s="24" t="s">
        <v>199</v>
      </c>
      <c r="H6" s="24" t="s">
        <v>421</v>
      </c>
      <c r="I6" s="24" t="s">
        <v>422</v>
      </c>
      <c r="J6" s="25" t="s">
        <v>203</v>
      </c>
      <c r="K6" s="24" t="s">
        <v>423</v>
      </c>
    </row>
    <row r="7" customFormat="false" ht="15" hidden="false" customHeight="true" outlineLevel="0" collapsed="false">
      <c r="A7" s="24" t="s">
        <v>424</v>
      </c>
      <c r="B7" s="24" t="s">
        <v>425</v>
      </c>
      <c r="C7" s="24" t="s">
        <v>395</v>
      </c>
      <c r="D7" s="24" t="s">
        <v>396</v>
      </c>
      <c r="E7" s="24" t="s">
        <v>426</v>
      </c>
      <c r="F7" s="24" t="s">
        <v>199</v>
      </c>
      <c r="G7" s="24" t="s">
        <v>199</v>
      </c>
      <c r="H7" s="24" t="s">
        <v>427</v>
      </c>
      <c r="I7" s="24" t="s">
        <v>428</v>
      </c>
      <c r="J7" s="25" t="s">
        <v>203</v>
      </c>
      <c r="K7" s="24" t="s">
        <v>429</v>
      </c>
    </row>
    <row r="8" customFormat="false" ht="15" hidden="false" customHeight="true" outlineLevel="0" collapsed="false">
      <c r="A8" s="24" t="s">
        <v>430</v>
      </c>
      <c r="B8" s="24" t="s">
        <v>431</v>
      </c>
      <c r="C8" s="24" t="s">
        <v>395</v>
      </c>
      <c r="D8" s="24" t="s">
        <v>396</v>
      </c>
      <c r="E8" s="24" t="s">
        <v>432</v>
      </c>
      <c r="F8" s="24" t="s">
        <v>199</v>
      </c>
      <c r="G8" s="24" t="s">
        <v>199</v>
      </c>
      <c r="H8" s="24" t="s">
        <v>433</v>
      </c>
      <c r="I8" s="24" t="s">
        <v>434</v>
      </c>
      <c r="J8" s="24" t="s">
        <v>240</v>
      </c>
      <c r="K8" s="24" t="s">
        <v>435</v>
      </c>
    </row>
    <row r="9" customFormat="false" ht="15" hidden="false" customHeight="true" outlineLevel="0" collapsed="false">
      <c r="A9" s="24" t="s">
        <v>436</v>
      </c>
      <c r="B9" s="24" t="s">
        <v>437</v>
      </c>
      <c r="C9" s="24" t="s">
        <v>395</v>
      </c>
      <c r="D9" s="24" t="s">
        <v>396</v>
      </c>
      <c r="E9" s="24" t="s">
        <v>438</v>
      </c>
      <c r="F9" s="24" t="s">
        <v>199</v>
      </c>
      <c r="G9" s="24" t="s">
        <v>199</v>
      </c>
      <c r="H9" s="24" t="s">
        <v>439</v>
      </c>
      <c r="I9" s="24" t="s">
        <v>440</v>
      </c>
      <c r="J9" s="24" t="s">
        <v>240</v>
      </c>
      <c r="K9" s="24" t="s">
        <v>441</v>
      </c>
    </row>
    <row r="10" customFormat="false" ht="15" hidden="false" customHeight="true" outlineLevel="0" collapsed="false">
      <c r="A10" s="24" t="s">
        <v>442</v>
      </c>
      <c r="B10" s="24" t="s">
        <v>443</v>
      </c>
      <c r="C10" s="24" t="s">
        <v>218</v>
      </c>
      <c r="D10" s="24" t="s">
        <v>396</v>
      </c>
      <c r="E10" s="24" t="s">
        <v>444</v>
      </c>
      <c r="F10" s="24" t="s">
        <v>199</v>
      </c>
      <c r="G10" s="24" t="s">
        <v>199</v>
      </c>
      <c r="H10" s="24" t="s">
        <v>445</v>
      </c>
      <c r="I10" s="24" t="s">
        <v>446</v>
      </c>
      <c r="J10" s="24" t="s">
        <v>240</v>
      </c>
      <c r="K10" s="24" t="s">
        <v>447</v>
      </c>
    </row>
    <row r="11" customFormat="false" ht="15" hidden="false" customHeight="true" outlineLevel="0" collapsed="false">
      <c r="A11" s="24" t="s">
        <v>448</v>
      </c>
      <c r="B11" s="24" t="s">
        <v>449</v>
      </c>
      <c r="C11" s="24" t="s">
        <v>450</v>
      </c>
      <c r="D11" s="24" t="s">
        <v>451</v>
      </c>
      <c r="E11" s="24" t="s">
        <v>452</v>
      </c>
      <c r="F11" s="24" t="s">
        <v>199</v>
      </c>
      <c r="G11" s="24" t="s">
        <v>199</v>
      </c>
      <c r="H11" s="24" t="s">
        <v>453</v>
      </c>
      <c r="I11" s="24" t="s">
        <v>454</v>
      </c>
      <c r="J11" s="25" t="s">
        <v>203</v>
      </c>
      <c r="K11" s="24" t="s">
        <v>455</v>
      </c>
    </row>
    <row r="12" customFormat="false" ht="15" hidden="false" customHeight="true" outlineLevel="0" collapsed="false">
      <c r="A12" s="24" t="s">
        <v>456</v>
      </c>
      <c r="B12" s="24" t="s">
        <v>457</v>
      </c>
      <c r="C12" s="24" t="s">
        <v>450</v>
      </c>
      <c r="D12" s="24" t="s">
        <v>458</v>
      </c>
      <c r="E12" s="24" t="s">
        <v>459</v>
      </c>
      <c r="F12" s="24" t="s">
        <v>199</v>
      </c>
      <c r="G12" s="24" t="s">
        <v>199</v>
      </c>
      <c r="H12" s="24" t="s">
        <v>460</v>
      </c>
      <c r="I12" s="24" t="s">
        <v>461</v>
      </c>
      <c r="J12" s="25" t="s">
        <v>203</v>
      </c>
      <c r="K12" s="24" t="s">
        <v>462</v>
      </c>
    </row>
    <row r="13" customFormat="false" ht="15" hidden="false" customHeight="true" outlineLevel="0" collapsed="false">
      <c r="A13" s="24" t="s">
        <v>463</v>
      </c>
      <c r="B13" s="24" t="s">
        <v>464</v>
      </c>
      <c r="C13" s="24" t="s">
        <v>450</v>
      </c>
      <c r="D13" s="24" t="s">
        <v>465</v>
      </c>
      <c r="E13" s="24" t="s">
        <v>466</v>
      </c>
      <c r="F13" s="24" t="s">
        <v>199</v>
      </c>
      <c r="G13" s="24" t="s">
        <v>199</v>
      </c>
      <c r="H13" s="24" t="s">
        <v>467</v>
      </c>
      <c r="I13" s="24" t="s">
        <v>468</v>
      </c>
      <c r="J13" s="24" t="s">
        <v>240</v>
      </c>
      <c r="K13" s="24" t="s">
        <v>469</v>
      </c>
    </row>
    <row r="14" customFormat="false" ht="15" hidden="false" customHeight="true" outlineLevel="0" collapsed="false">
      <c r="A14" s="24" t="s">
        <v>470</v>
      </c>
      <c r="B14" s="24" t="s">
        <v>471</v>
      </c>
      <c r="C14" s="24" t="s">
        <v>450</v>
      </c>
      <c r="D14" s="24" t="s">
        <v>472</v>
      </c>
      <c r="E14" s="24" t="s">
        <v>473</v>
      </c>
      <c r="F14" s="24" t="s">
        <v>199</v>
      </c>
      <c r="G14" s="24" t="s">
        <v>199</v>
      </c>
      <c r="H14" s="24" t="s">
        <v>474</v>
      </c>
      <c r="I14" s="24" t="s">
        <v>475</v>
      </c>
      <c r="J14" s="24" t="s">
        <v>240</v>
      </c>
      <c r="K14" s="24" t="s">
        <v>476</v>
      </c>
    </row>
    <row r="15" customFormat="false" ht="15" hidden="false" customHeight="true" outlineLevel="0" collapsed="false">
      <c r="A15" s="24" t="s">
        <v>140</v>
      </c>
      <c r="B15" s="24" t="s">
        <v>223</v>
      </c>
      <c r="C15" s="24" t="s">
        <v>450</v>
      </c>
      <c r="D15" s="24" t="s">
        <v>477</v>
      </c>
      <c r="E15" s="24" t="s">
        <v>478</v>
      </c>
      <c r="F15" s="24" t="s">
        <v>199</v>
      </c>
      <c r="G15" s="24" t="s">
        <v>199</v>
      </c>
      <c r="H15" s="24" t="s">
        <v>479</v>
      </c>
      <c r="I15" s="24" t="s">
        <v>480</v>
      </c>
      <c r="J15" s="24" t="s">
        <v>240</v>
      </c>
      <c r="K15" s="24" t="s">
        <v>481</v>
      </c>
    </row>
    <row r="16" customFormat="false" ht="23.25" hidden="false" customHeight="true" outlineLevel="0" collapsed="false">
      <c r="A16" s="24" t="s">
        <v>482</v>
      </c>
      <c r="B16" s="24" t="s">
        <v>252</v>
      </c>
      <c r="C16" s="24" t="s">
        <v>450</v>
      </c>
      <c r="D16" s="24" t="s">
        <v>483</v>
      </c>
      <c r="E16" s="24" t="s">
        <v>484</v>
      </c>
      <c r="F16" s="24" t="s">
        <v>199</v>
      </c>
      <c r="G16" s="24" t="s">
        <v>199</v>
      </c>
      <c r="H16" s="24" t="s">
        <v>485</v>
      </c>
      <c r="I16" s="24" t="s">
        <v>486</v>
      </c>
      <c r="J16" s="24" t="s">
        <v>240</v>
      </c>
      <c r="K16" s="24" t="s">
        <v>261</v>
      </c>
    </row>
    <row r="17" customFormat="false" ht="15" hidden="false" customHeight="true" outlineLevel="0" collapsed="false">
      <c r="A17" s="24" t="s">
        <v>487</v>
      </c>
      <c r="B17" s="24" t="s">
        <v>488</v>
      </c>
      <c r="C17" s="24" t="s">
        <v>218</v>
      </c>
      <c r="D17" s="24" t="s">
        <v>489</v>
      </c>
      <c r="E17" s="24" t="s">
        <v>490</v>
      </c>
      <c r="F17" s="24" t="s">
        <v>199</v>
      </c>
      <c r="G17" s="24" t="s">
        <v>199</v>
      </c>
      <c r="H17" s="24" t="s">
        <v>491</v>
      </c>
      <c r="I17" s="24" t="s">
        <v>492</v>
      </c>
      <c r="J17" s="24" t="s">
        <v>240</v>
      </c>
      <c r="K17" s="24" t="s">
        <v>493</v>
      </c>
    </row>
    <row r="18" customFormat="false" ht="23.25" hidden="false" customHeight="true" outlineLevel="0" collapsed="false">
      <c r="A18" s="24" t="s">
        <v>494</v>
      </c>
      <c r="B18" s="24" t="s">
        <v>495</v>
      </c>
      <c r="C18" s="24" t="s">
        <v>450</v>
      </c>
      <c r="D18" s="24" t="s">
        <v>496</v>
      </c>
      <c r="E18" s="24" t="s">
        <v>497</v>
      </c>
      <c r="F18" s="24" t="s">
        <v>199</v>
      </c>
      <c r="G18" s="24" t="s">
        <v>199</v>
      </c>
      <c r="H18" s="24" t="s">
        <v>498</v>
      </c>
      <c r="I18" s="24" t="s">
        <v>499</v>
      </c>
      <c r="J18" s="24" t="s">
        <v>240</v>
      </c>
      <c r="K18" s="24" t="s">
        <v>234</v>
      </c>
    </row>
    <row r="19" customFormat="false" ht="15" hidden="false" customHeight="true" outlineLevel="0" collapsed="false">
      <c r="A19" s="24" t="s">
        <v>154</v>
      </c>
      <c r="B19" s="24" t="s">
        <v>500</v>
      </c>
      <c r="C19" s="24" t="s">
        <v>501</v>
      </c>
      <c r="D19" s="24" t="s">
        <v>502</v>
      </c>
      <c r="E19" s="24" t="s">
        <v>503</v>
      </c>
      <c r="F19" s="24" t="s">
        <v>199</v>
      </c>
      <c r="G19" s="24" t="s">
        <v>199</v>
      </c>
      <c r="H19" s="24" t="s">
        <v>504</v>
      </c>
      <c r="I19" s="24" t="s">
        <v>505</v>
      </c>
      <c r="J19" s="24" t="s">
        <v>240</v>
      </c>
      <c r="K19" s="24" t="s">
        <v>234</v>
      </c>
    </row>
    <row r="20" customFormat="false" ht="15" hidden="false" customHeight="true" outlineLevel="0" collapsed="false">
      <c r="A20" s="24" t="s">
        <v>506</v>
      </c>
      <c r="B20" s="24" t="s">
        <v>507</v>
      </c>
      <c r="C20" s="24" t="s">
        <v>450</v>
      </c>
      <c r="D20" s="24" t="s">
        <v>508</v>
      </c>
      <c r="E20" s="24" t="s">
        <v>509</v>
      </c>
      <c r="F20" s="24" t="s">
        <v>199</v>
      </c>
      <c r="G20" s="24" t="s">
        <v>199</v>
      </c>
      <c r="H20" s="24" t="s">
        <v>510</v>
      </c>
      <c r="I20" s="24" t="s">
        <v>511</v>
      </c>
      <c r="J20" s="24" t="s">
        <v>240</v>
      </c>
      <c r="K20" s="24" t="s">
        <v>512</v>
      </c>
    </row>
    <row r="21" customFormat="false" ht="15" hidden="false" customHeight="true" outlineLevel="0" collapsed="false">
      <c r="A21" s="24" t="s">
        <v>513</v>
      </c>
      <c r="B21" s="24" t="s">
        <v>252</v>
      </c>
      <c r="C21" s="24" t="s">
        <v>395</v>
      </c>
      <c r="D21" s="24" t="s">
        <v>514</v>
      </c>
      <c r="E21" s="24" t="s">
        <v>515</v>
      </c>
      <c r="F21" s="24" t="s">
        <v>199</v>
      </c>
      <c r="G21" s="24" t="s">
        <v>199</v>
      </c>
      <c r="H21" s="24" t="s">
        <v>516</v>
      </c>
      <c r="I21" s="24" t="s">
        <v>517</v>
      </c>
      <c r="J21" s="24" t="s">
        <v>240</v>
      </c>
      <c r="K21" s="24" t="s">
        <v>261</v>
      </c>
    </row>
    <row r="22" customFormat="false" ht="15" hidden="false" customHeight="true" outlineLevel="0" collapsed="false">
      <c r="A22" s="24" t="s">
        <v>518</v>
      </c>
      <c r="B22" s="24" t="s">
        <v>519</v>
      </c>
      <c r="C22" s="24" t="s">
        <v>395</v>
      </c>
      <c r="D22" s="24" t="s">
        <v>396</v>
      </c>
      <c r="E22" s="24" t="s">
        <v>520</v>
      </c>
      <c r="F22" s="24" t="s">
        <v>199</v>
      </c>
      <c r="G22" s="24" t="s">
        <v>199</v>
      </c>
      <c r="H22" s="24" t="s">
        <v>521</v>
      </c>
      <c r="I22" s="24" t="s">
        <v>522</v>
      </c>
      <c r="J22" s="24" t="s">
        <v>240</v>
      </c>
      <c r="K22" s="24" t="s">
        <v>523</v>
      </c>
    </row>
    <row r="23" customFormat="false" ht="15" hidden="false" customHeight="true" outlineLevel="0" collapsed="false">
      <c r="A23" s="24" t="s">
        <v>524</v>
      </c>
      <c r="B23" s="24" t="s">
        <v>525</v>
      </c>
      <c r="C23" s="24" t="s">
        <v>395</v>
      </c>
      <c r="D23" s="24" t="s">
        <v>396</v>
      </c>
      <c r="E23" s="24" t="s">
        <v>526</v>
      </c>
      <c r="F23" s="24" t="s">
        <v>199</v>
      </c>
      <c r="G23" s="24" t="s">
        <v>199</v>
      </c>
      <c r="H23" s="24" t="s">
        <v>527</v>
      </c>
      <c r="I23" s="24" t="s">
        <v>528</v>
      </c>
      <c r="J23" s="24" t="s">
        <v>240</v>
      </c>
      <c r="K23" s="24" t="s">
        <v>529</v>
      </c>
    </row>
    <row r="25" customFormat="false" ht="15" hidden="false" customHeight="true" outlineLevel="0" collapsed="false">
      <c r="A25" s="35" t="s">
        <v>530</v>
      </c>
    </row>
    <row r="26" customFormat="false" ht="15" hidden="false" customHeight="true" outlineLevel="0" collapsed="false">
      <c r="A26" s="36"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2" min="1" style="22" width="25"/>
    <col collapsed="false" customWidth="true" hidden="false" outlineLevel="0" max="3" min="3" style="22" width="18"/>
    <col collapsed="false" customWidth="true" hidden="false" outlineLevel="0" max="5" min="4" style="22" width="30"/>
    <col collapsed="false" customWidth="true" hidden="false" outlineLevel="0" max="6" min="6" style="22" width="25"/>
    <col collapsed="false" customWidth="true" hidden="false" outlineLevel="0" max="7" min="7" style="22" width="20"/>
    <col collapsed="false" customWidth="true" hidden="false" outlineLevel="0" max="8" min="8" style="22" width="22"/>
    <col collapsed="false" customWidth="true" hidden="false" outlineLevel="0" max="9" min="9" style="22" width="60"/>
    <col collapsed="false" customWidth="true" hidden="false" outlineLevel="0" max="10" min="10" style="22" width="45"/>
    <col collapsed="false" customWidth="true" hidden="false" outlineLevel="0" max="11" min="11" style="22" width="10"/>
    <col collapsed="false" customWidth="true" hidden="false" outlineLevel="0" max="12" min="12" style="22" width="55"/>
  </cols>
  <sheetData>
    <row r="1" customFormat="false" ht="15" hidden="false" customHeight="true" outlineLevel="0" collapsed="false">
      <c r="A1" s="23" t="s">
        <v>4</v>
      </c>
      <c r="B1" s="23" t="s">
        <v>532</v>
      </c>
      <c r="C1" s="23" t="s">
        <v>186</v>
      </c>
      <c r="D1" s="23" t="s">
        <v>188</v>
      </c>
      <c r="E1" s="23" t="s">
        <v>533</v>
      </c>
      <c r="F1" s="23" t="s">
        <v>534</v>
      </c>
      <c r="G1" s="23" t="s">
        <v>535</v>
      </c>
      <c r="H1" s="23" t="s">
        <v>191</v>
      </c>
      <c r="I1" s="23" t="s">
        <v>536</v>
      </c>
      <c r="J1" s="23" t="s">
        <v>193</v>
      </c>
      <c r="K1" s="23" t="s">
        <v>194</v>
      </c>
      <c r="L1" s="23" t="s">
        <v>537</v>
      </c>
    </row>
    <row r="2" customFormat="false" ht="45.75" hidden="false" customHeight="true" outlineLevel="0" collapsed="false">
      <c r="A2" s="24" t="s">
        <v>53</v>
      </c>
      <c r="B2" s="24" t="s">
        <v>538</v>
      </c>
      <c r="C2" s="24" t="s">
        <v>230</v>
      </c>
      <c r="D2" s="24" t="s">
        <v>539</v>
      </c>
      <c r="E2" s="24" t="s">
        <v>540</v>
      </c>
      <c r="F2" s="24" t="s">
        <v>541</v>
      </c>
      <c r="G2" s="24" t="s">
        <v>542</v>
      </c>
      <c r="H2" s="24" t="s">
        <v>543</v>
      </c>
      <c r="I2" s="24" t="s">
        <v>544</v>
      </c>
      <c r="J2" s="24" t="s">
        <v>545</v>
      </c>
      <c r="K2" s="25" t="s">
        <v>203</v>
      </c>
      <c r="L2" s="24" t="s">
        <v>546</v>
      </c>
    </row>
    <row r="3" customFormat="false" ht="34.5" hidden="false" customHeight="true" outlineLevel="0" collapsed="false">
      <c r="A3" s="24" t="s">
        <v>23</v>
      </c>
      <c r="B3" s="24" t="s">
        <v>547</v>
      </c>
      <c r="C3" s="24" t="s">
        <v>525</v>
      </c>
      <c r="D3" s="24" t="s">
        <v>548</v>
      </c>
      <c r="E3" s="24" t="s">
        <v>199</v>
      </c>
      <c r="F3" s="24" t="s">
        <v>199</v>
      </c>
      <c r="G3" s="24" t="s">
        <v>549</v>
      </c>
      <c r="H3" s="24" t="s">
        <v>199</v>
      </c>
      <c r="I3" s="24" t="s">
        <v>550</v>
      </c>
      <c r="J3" s="24" t="s">
        <v>551</v>
      </c>
      <c r="K3" s="25" t="s">
        <v>203</v>
      </c>
      <c r="L3" s="24" t="s">
        <v>552</v>
      </c>
    </row>
    <row r="4" customFormat="false" ht="23.25" hidden="false" customHeight="true" outlineLevel="0" collapsed="false">
      <c r="A4" s="24" t="s">
        <v>104</v>
      </c>
      <c r="B4" s="24" t="s">
        <v>553</v>
      </c>
      <c r="C4" s="24" t="s">
        <v>554</v>
      </c>
      <c r="D4" s="24" t="s">
        <v>555</v>
      </c>
      <c r="E4" s="24" t="s">
        <v>199</v>
      </c>
      <c r="F4" s="24" t="s">
        <v>199</v>
      </c>
      <c r="G4" s="24" t="s">
        <v>556</v>
      </c>
      <c r="H4" s="24" t="s">
        <v>199</v>
      </c>
      <c r="I4" s="24" t="s">
        <v>557</v>
      </c>
      <c r="J4" s="24" t="s">
        <v>558</v>
      </c>
      <c r="K4" s="25" t="s">
        <v>203</v>
      </c>
      <c r="L4" s="24" t="s">
        <v>559</v>
      </c>
    </row>
    <row r="5" customFormat="false" ht="23.25" hidden="false" customHeight="true" outlineLevel="0" collapsed="false">
      <c r="A5" s="24" t="s">
        <v>84</v>
      </c>
      <c r="B5" s="24" t="s">
        <v>560</v>
      </c>
      <c r="C5" s="24" t="s">
        <v>561</v>
      </c>
      <c r="D5" s="24" t="s">
        <v>562</v>
      </c>
      <c r="E5" s="24" t="s">
        <v>199</v>
      </c>
      <c r="F5" s="24" t="s">
        <v>199</v>
      </c>
      <c r="G5" s="24" t="s">
        <v>199</v>
      </c>
      <c r="H5" s="24" t="s">
        <v>199</v>
      </c>
      <c r="I5" s="24" t="s">
        <v>563</v>
      </c>
      <c r="J5" s="24" t="s">
        <v>564</v>
      </c>
      <c r="K5" s="25" t="s">
        <v>203</v>
      </c>
      <c r="L5" s="24" t="s">
        <v>565</v>
      </c>
    </row>
    <row r="6" customFormat="false" ht="34.5" hidden="false" customHeight="true" outlineLevel="0" collapsed="false">
      <c r="A6" s="24" t="s">
        <v>49</v>
      </c>
      <c r="B6" s="24" t="s">
        <v>566</v>
      </c>
      <c r="C6" s="24" t="s">
        <v>252</v>
      </c>
      <c r="D6" s="24" t="s">
        <v>567</v>
      </c>
      <c r="E6" s="24" t="s">
        <v>199</v>
      </c>
      <c r="F6" s="24" t="s">
        <v>568</v>
      </c>
      <c r="G6" s="24" t="s">
        <v>569</v>
      </c>
      <c r="H6" s="24" t="s">
        <v>570</v>
      </c>
      <c r="I6" s="24" t="s">
        <v>571</v>
      </c>
      <c r="J6" s="24" t="s">
        <v>572</v>
      </c>
      <c r="K6" s="25" t="s">
        <v>203</v>
      </c>
      <c r="L6" s="24" t="s">
        <v>573</v>
      </c>
    </row>
    <row r="7" customFormat="false" ht="34.5" hidden="false" customHeight="true" outlineLevel="0" collapsed="false">
      <c r="A7" s="24" t="s">
        <v>26</v>
      </c>
      <c r="B7" s="24" t="s">
        <v>560</v>
      </c>
      <c r="C7" s="24" t="s">
        <v>574</v>
      </c>
      <c r="D7" s="24" t="s">
        <v>575</v>
      </c>
      <c r="E7" s="24" t="s">
        <v>199</v>
      </c>
      <c r="F7" s="24" t="s">
        <v>199</v>
      </c>
      <c r="G7" s="24" t="s">
        <v>576</v>
      </c>
      <c r="H7" s="24" t="s">
        <v>577</v>
      </c>
      <c r="I7" s="24" t="s">
        <v>578</v>
      </c>
      <c r="J7" s="24" t="s">
        <v>579</v>
      </c>
      <c r="K7" s="25" t="s">
        <v>203</v>
      </c>
      <c r="L7" s="24" t="s">
        <v>580</v>
      </c>
    </row>
    <row r="8" customFormat="false" ht="23.25" hidden="false" customHeight="true" outlineLevel="0" collapsed="false">
      <c r="A8" s="24" t="s">
        <v>47</v>
      </c>
      <c r="B8" s="24" t="s">
        <v>581</v>
      </c>
      <c r="C8" s="24" t="s">
        <v>236</v>
      </c>
      <c r="D8" s="24" t="s">
        <v>582</v>
      </c>
      <c r="E8" s="24" t="s">
        <v>199</v>
      </c>
      <c r="F8" s="24" t="s">
        <v>199</v>
      </c>
      <c r="G8" s="24" t="s">
        <v>583</v>
      </c>
      <c r="H8" s="24" t="s">
        <v>199</v>
      </c>
      <c r="I8" s="24" t="s">
        <v>584</v>
      </c>
      <c r="J8" s="24" t="s">
        <v>585</v>
      </c>
      <c r="K8" s="25" t="s">
        <v>203</v>
      </c>
      <c r="L8" s="24" t="s">
        <v>586</v>
      </c>
    </row>
    <row r="9" customFormat="false" ht="57" hidden="false" customHeight="true" outlineLevel="0" collapsed="false">
      <c r="A9" s="24" t="s">
        <v>587</v>
      </c>
      <c r="B9" s="24" t="s">
        <v>588</v>
      </c>
      <c r="C9" s="24" t="s">
        <v>589</v>
      </c>
      <c r="D9" s="24" t="s">
        <v>590</v>
      </c>
      <c r="E9" s="24" t="s">
        <v>591</v>
      </c>
      <c r="F9" s="24" t="s">
        <v>592</v>
      </c>
      <c r="G9" s="24" t="s">
        <v>556</v>
      </c>
      <c r="H9" s="24" t="s">
        <v>593</v>
      </c>
      <c r="I9" s="24" t="s">
        <v>594</v>
      </c>
      <c r="J9" s="24" t="s">
        <v>595</v>
      </c>
      <c r="K9" s="24" t="s">
        <v>240</v>
      </c>
      <c r="L9" s="24" t="s">
        <v>596</v>
      </c>
    </row>
    <row r="10" customFormat="false" ht="23.25" hidden="false" customHeight="true" outlineLevel="0" collapsed="false">
      <c r="A10" s="24" t="s">
        <v>597</v>
      </c>
      <c r="B10" s="24" t="s">
        <v>598</v>
      </c>
      <c r="C10" s="24" t="s">
        <v>196</v>
      </c>
      <c r="D10" s="24" t="s">
        <v>599</v>
      </c>
      <c r="E10" s="24" t="s">
        <v>199</v>
      </c>
      <c r="F10" s="24" t="s">
        <v>199</v>
      </c>
      <c r="G10" s="24" t="s">
        <v>600</v>
      </c>
      <c r="H10" s="24" t="s">
        <v>199</v>
      </c>
      <c r="I10" s="24" t="s">
        <v>601</v>
      </c>
      <c r="J10" s="24" t="s">
        <v>602</v>
      </c>
      <c r="K10" s="24" t="s">
        <v>256</v>
      </c>
      <c r="L10" s="24" t="s">
        <v>603</v>
      </c>
    </row>
    <row r="11" customFormat="false" ht="23.25" hidden="false" customHeight="true" outlineLevel="0" collapsed="false">
      <c r="A11" s="24" t="s">
        <v>604</v>
      </c>
      <c r="B11" s="24" t="s">
        <v>605</v>
      </c>
      <c r="C11" s="24" t="s">
        <v>196</v>
      </c>
      <c r="D11" s="24" t="s">
        <v>606</v>
      </c>
      <c r="E11" s="24" t="s">
        <v>199</v>
      </c>
      <c r="F11" s="24" t="s">
        <v>199</v>
      </c>
      <c r="G11" s="24" t="s">
        <v>607</v>
      </c>
      <c r="H11" s="24" t="s">
        <v>199</v>
      </c>
      <c r="I11" s="24" t="s">
        <v>608</v>
      </c>
      <c r="J11" s="24" t="s">
        <v>609</v>
      </c>
      <c r="K11" s="24" t="s">
        <v>240</v>
      </c>
      <c r="L11" s="24" t="s">
        <v>610</v>
      </c>
    </row>
    <row r="12" customFormat="false" ht="23.25" hidden="false" customHeight="true" outlineLevel="0" collapsed="false">
      <c r="A12" s="24" t="s">
        <v>611</v>
      </c>
      <c r="B12" s="24" t="s">
        <v>612</v>
      </c>
      <c r="C12" s="24" t="s">
        <v>196</v>
      </c>
      <c r="D12" s="24" t="s">
        <v>613</v>
      </c>
      <c r="E12" s="24" t="s">
        <v>199</v>
      </c>
      <c r="F12" s="24" t="s">
        <v>199</v>
      </c>
      <c r="G12" s="24" t="s">
        <v>199</v>
      </c>
      <c r="H12" s="24" t="s">
        <v>199</v>
      </c>
      <c r="I12" s="24" t="s">
        <v>614</v>
      </c>
      <c r="J12" s="24" t="s">
        <v>615</v>
      </c>
      <c r="K12" s="24" t="s">
        <v>240</v>
      </c>
      <c r="L12" s="24" t="s">
        <v>616</v>
      </c>
    </row>
    <row r="13" customFormat="false" ht="23.25" hidden="false" customHeight="true" outlineLevel="0" collapsed="false">
      <c r="A13" s="24" t="s">
        <v>617</v>
      </c>
      <c r="B13" s="24" t="s">
        <v>618</v>
      </c>
      <c r="C13" s="24" t="s">
        <v>230</v>
      </c>
      <c r="D13" s="24" t="s">
        <v>619</v>
      </c>
      <c r="E13" s="24" t="s">
        <v>199</v>
      </c>
      <c r="F13" s="24" t="s">
        <v>199</v>
      </c>
      <c r="G13" s="24" t="s">
        <v>620</v>
      </c>
      <c r="H13" s="24" t="s">
        <v>199</v>
      </c>
      <c r="I13" s="24" t="s">
        <v>621</v>
      </c>
      <c r="J13" s="24" t="s">
        <v>622</v>
      </c>
      <c r="K13" s="24" t="s">
        <v>240</v>
      </c>
      <c r="L13" s="24" t="s">
        <v>623</v>
      </c>
    </row>
    <row r="14" customFormat="false" ht="34.5" hidden="false" customHeight="true" outlineLevel="0" collapsed="false">
      <c r="A14" s="24" t="s">
        <v>624</v>
      </c>
      <c r="B14" s="24" t="s">
        <v>625</v>
      </c>
      <c r="C14" s="24" t="s">
        <v>626</v>
      </c>
      <c r="D14" s="24" t="s">
        <v>627</v>
      </c>
      <c r="E14" s="24" t="s">
        <v>199</v>
      </c>
      <c r="F14" s="24" t="s">
        <v>628</v>
      </c>
      <c r="G14" s="24" t="s">
        <v>199</v>
      </c>
      <c r="H14" s="24" t="s">
        <v>629</v>
      </c>
      <c r="I14" s="24" t="s">
        <v>630</v>
      </c>
      <c r="J14" s="24" t="s">
        <v>631</v>
      </c>
      <c r="K14" s="24" t="s">
        <v>240</v>
      </c>
      <c r="L14" s="24" t="s">
        <v>632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22" width="28"/>
    <col collapsed="false" customWidth="true" hidden="false" outlineLevel="0" max="2" min="2" style="22" width="20"/>
    <col collapsed="false" customWidth="true" hidden="false" outlineLevel="0" max="16" min="3" style="22" width="14"/>
    <col collapsed="false" customWidth="true" hidden="false" outlineLevel="0" max="19" min="17" style="22" width="12"/>
    <col collapsed="false" customWidth="true" hidden="false" outlineLevel="0" max="21" min="20" style="22" width="30"/>
    <col collapsed="false" customWidth="true" hidden="false" outlineLevel="0" max="22" min="22" style="22" width="50"/>
    <col collapsed="false" customWidth="true" hidden="false" outlineLevel="0" max="23" min="23" style="22" width="60"/>
  </cols>
  <sheetData>
    <row r="1" customFormat="false" ht="45" hidden="false" customHeight="true" outlineLevel="0" collapsed="false">
      <c r="A1" s="37" t="s">
        <v>633</v>
      </c>
      <c r="B1" s="37"/>
      <c r="C1" s="37"/>
      <c r="D1" s="37"/>
      <c r="E1" s="37"/>
      <c r="F1" s="37"/>
      <c r="G1" s="37"/>
      <c r="H1" s="37"/>
      <c r="I1" s="37"/>
      <c r="J1" s="37"/>
      <c r="K1" s="37"/>
      <c r="L1" s="37"/>
      <c r="M1" s="37"/>
      <c r="N1" s="37"/>
      <c r="O1" s="37"/>
      <c r="P1" s="37"/>
      <c r="Q1" s="37"/>
      <c r="R1" s="37"/>
      <c r="S1" s="37"/>
      <c r="T1" s="37"/>
      <c r="U1" s="37"/>
      <c r="V1" s="37"/>
      <c r="W1" s="37"/>
    </row>
    <row r="2" customFormat="false" ht="79.5" hidden="false" customHeight="true" outlineLevel="0" collapsed="false">
      <c r="A2" s="38" t="s">
        <v>4</v>
      </c>
      <c r="B2" s="38" t="s">
        <v>275</v>
      </c>
      <c r="C2" s="38" t="s">
        <v>634</v>
      </c>
      <c r="D2" s="38" t="s">
        <v>635</v>
      </c>
      <c r="E2" s="38" t="s">
        <v>636</v>
      </c>
      <c r="F2" s="38" t="s">
        <v>637</v>
      </c>
      <c r="G2" s="38" t="s">
        <v>638</v>
      </c>
      <c r="H2" s="38" t="s">
        <v>639</v>
      </c>
      <c r="I2" s="38" t="s">
        <v>640</v>
      </c>
      <c r="J2" s="38" t="s">
        <v>641</v>
      </c>
      <c r="K2" s="38" t="s">
        <v>642</v>
      </c>
      <c r="L2" s="38" t="s">
        <v>643</v>
      </c>
      <c r="M2" s="38" t="s">
        <v>644</v>
      </c>
      <c r="N2" s="38" t="s">
        <v>645</v>
      </c>
      <c r="O2" s="38" t="s">
        <v>646</v>
      </c>
      <c r="P2" s="38" t="s">
        <v>647</v>
      </c>
      <c r="Q2" s="38" t="s">
        <v>648</v>
      </c>
      <c r="R2" s="38" t="s">
        <v>649</v>
      </c>
      <c r="S2" s="38" t="s">
        <v>650</v>
      </c>
      <c r="T2" s="38" t="s">
        <v>651</v>
      </c>
      <c r="U2" s="38" t="s">
        <v>191</v>
      </c>
      <c r="V2" s="38" t="s">
        <v>652</v>
      </c>
      <c r="W2" s="38" t="s">
        <v>290</v>
      </c>
    </row>
    <row r="3" customFormat="false" ht="79.5" hidden="false" customHeight="true" outlineLevel="0" collapsed="false">
      <c r="A3" s="39" t="s">
        <v>53</v>
      </c>
      <c r="B3" s="30" t="s">
        <v>653</v>
      </c>
      <c r="C3" s="24" t="s">
        <v>292</v>
      </c>
      <c r="D3" s="40" t="n">
        <v>366477</v>
      </c>
      <c r="E3" s="41" t="n">
        <v>70747</v>
      </c>
      <c r="F3" s="41" t="n">
        <v>49172</v>
      </c>
      <c r="G3" s="41" t="n">
        <v>34000</v>
      </c>
      <c r="H3" s="41" t="n">
        <v>103111</v>
      </c>
      <c r="I3" s="41" t="n">
        <v>69697</v>
      </c>
      <c r="J3" s="41" t="n">
        <v>275924</v>
      </c>
      <c r="K3" s="41" t="n">
        <v>128567</v>
      </c>
      <c r="L3" s="40" t="n">
        <v>12924</v>
      </c>
      <c r="M3" s="42" t="n">
        <v>140443</v>
      </c>
      <c r="N3" s="41" t="n">
        <v>415527</v>
      </c>
      <c r="O3" s="41" t="n">
        <v>264679</v>
      </c>
      <c r="P3" s="41" t="n">
        <v>137924</v>
      </c>
      <c r="Q3" s="9" t="n">
        <f aca="false">IF(D3&gt;0,E3/D3,0)</f>
        <v>0.193046221181684</v>
      </c>
      <c r="R3" s="9" t="n">
        <f aca="false">IF(D3&gt;0,L3/D3,0)</f>
        <v>0.0352655146161969</v>
      </c>
      <c r="S3" s="9" t="n">
        <f aca="false">IF(D3&gt;0,M3/D3,0)</f>
        <v>0.383224595267916</v>
      </c>
      <c r="T3" s="30" t="s">
        <v>654</v>
      </c>
      <c r="U3" s="30" t="s">
        <v>655</v>
      </c>
      <c r="V3" s="30" t="s">
        <v>656</v>
      </c>
      <c r="W3" s="30" t="s">
        <v>657</v>
      </c>
    </row>
    <row r="4" customFormat="false" ht="79.5" hidden="false" customHeight="true" outlineLevel="0" collapsed="false">
      <c r="A4" s="39" t="s">
        <v>23</v>
      </c>
      <c r="B4" s="30" t="s">
        <v>658</v>
      </c>
      <c r="C4" s="24" t="s">
        <v>297</v>
      </c>
      <c r="D4" s="40" t="n">
        <v>385623</v>
      </c>
      <c r="E4" s="41" t="n">
        <v>134946</v>
      </c>
      <c r="F4" s="41" t="n">
        <v>0</v>
      </c>
      <c r="G4" s="41" t="n">
        <v>0</v>
      </c>
      <c r="H4" s="41" t="n">
        <v>0</v>
      </c>
      <c r="I4" s="41" t="n">
        <v>0</v>
      </c>
      <c r="J4" s="41" t="n">
        <v>347468</v>
      </c>
      <c r="K4" s="41" t="n">
        <v>110058</v>
      </c>
      <c r="L4" s="40" t="n">
        <v>0</v>
      </c>
      <c r="M4" s="40" t="n">
        <v>23813</v>
      </c>
      <c r="N4" s="41" t="n">
        <v>410432</v>
      </c>
      <c r="O4" s="41" t="n">
        <v>322475</v>
      </c>
      <c r="P4" s="41" t="n">
        <v>87957</v>
      </c>
      <c r="Q4" s="9" t="n">
        <f aca="false">IF(D4&gt;0,E4/D4,0)</f>
        <v>0.349942819800686</v>
      </c>
      <c r="R4" s="9" t="n">
        <f aca="false">IF(D4&gt;0,L4/D4,0)</f>
        <v>0</v>
      </c>
      <c r="S4" s="9" t="n">
        <f aca="false">IF(D4&gt;0,M4/D4,0)</f>
        <v>0.0617520220526265</v>
      </c>
      <c r="T4" s="30" t="s">
        <v>659</v>
      </c>
      <c r="U4" s="30" t="s">
        <v>199</v>
      </c>
      <c r="V4" s="30" t="s">
        <v>660</v>
      </c>
      <c r="W4" s="30" t="s">
        <v>661</v>
      </c>
    </row>
    <row r="5" customFormat="false" ht="79.5" hidden="false" customHeight="true" outlineLevel="0" collapsed="false">
      <c r="A5" s="39" t="s">
        <v>104</v>
      </c>
      <c r="B5" s="30" t="s">
        <v>662</v>
      </c>
      <c r="C5" s="24" t="s">
        <v>297</v>
      </c>
      <c r="D5" s="40" t="n">
        <v>440919</v>
      </c>
      <c r="E5" s="41" t="n">
        <v>177642</v>
      </c>
      <c r="F5" s="41" t="n">
        <v>43236</v>
      </c>
      <c r="G5" s="41" t="n">
        <v>0</v>
      </c>
      <c r="H5" s="41" t="n">
        <v>25043</v>
      </c>
      <c r="I5" s="41" t="n">
        <v>0</v>
      </c>
      <c r="J5" s="41" t="n">
        <v>195042</v>
      </c>
      <c r="K5" s="41" t="n">
        <v>92536</v>
      </c>
      <c r="L5" s="40" t="n">
        <v>32281</v>
      </c>
      <c r="M5" s="42" t="n">
        <v>260766</v>
      </c>
      <c r="N5" s="41" t="n">
        <v>484953</v>
      </c>
      <c r="O5" s="41" t="n">
        <v>412747</v>
      </c>
      <c r="P5" s="41" t="n">
        <v>39926</v>
      </c>
      <c r="Q5" s="9" t="n">
        <f aca="false">IF(D5&gt;0,E5/D5,0)</f>
        <v>0.402890326794717</v>
      </c>
      <c r="R5" s="9" t="n">
        <f aca="false">IF(D5&gt;0,L5/D5,0)</f>
        <v>0.0732129937698307</v>
      </c>
      <c r="S5" s="9" t="n">
        <f aca="false">IF(D5&gt;0,M5/D5,0)</f>
        <v>0.591414749647895</v>
      </c>
      <c r="T5" s="30" t="s">
        <v>663</v>
      </c>
      <c r="U5" s="30" t="s">
        <v>664</v>
      </c>
      <c r="V5" s="30" t="s">
        <v>665</v>
      </c>
      <c r="W5" s="30" t="s">
        <v>666</v>
      </c>
    </row>
    <row r="6" customFormat="false" ht="79.5" hidden="false" customHeight="true" outlineLevel="0" collapsed="false">
      <c r="A6" s="39" t="s">
        <v>84</v>
      </c>
      <c r="B6" s="30" t="s">
        <v>667</v>
      </c>
      <c r="C6" s="24" t="s">
        <v>331</v>
      </c>
      <c r="D6" s="42" t="n">
        <v>160397</v>
      </c>
      <c r="E6" s="41" t="n">
        <v>10533</v>
      </c>
      <c r="F6" s="41" t="n">
        <v>2500</v>
      </c>
      <c r="G6" s="41" t="n">
        <v>0</v>
      </c>
      <c r="H6" s="41" t="n">
        <v>8682</v>
      </c>
      <c r="I6" s="41" t="n">
        <v>0</v>
      </c>
      <c r="J6" s="41" t="n">
        <v>43117</v>
      </c>
      <c r="K6" s="41" t="n">
        <v>7003</v>
      </c>
      <c r="L6" s="40" t="n">
        <v>11450</v>
      </c>
      <c r="M6" s="42" t="n">
        <v>78863</v>
      </c>
      <c r="N6" s="41" t="n">
        <v>150318</v>
      </c>
      <c r="O6" s="41" t="n">
        <v>103281</v>
      </c>
      <c r="P6" s="41" t="n">
        <v>35587</v>
      </c>
      <c r="Q6" s="9" t="n">
        <f aca="false">IF(D6&gt;0,E6/D6,0)</f>
        <v>0.0656683105045606</v>
      </c>
      <c r="R6" s="9" t="n">
        <f aca="false">IF(D6&gt;0,L6/D6,0)</f>
        <v>0.0713853750381865</v>
      </c>
      <c r="S6" s="9" t="n">
        <f aca="false">IF(D6&gt;0,M6/D6,0)</f>
        <v>0.491673784422402</v>
      </c>
      <c r="T6" s="30" t="s">
        <v>668</v>
      </c>
      <c r="U6" s="30" t="s">
        <v>199</v>
      </c>
      <c r="V6" s="30" t="s">
        <v>669</v>
      </c>
      <c r="W6" s="30" t="s">
        <v>670</v>
      </c>
    </row>
    <row r="7" customFormat="false" ht="79.5" hidden="false" customHeight="true" outlineLevel="0" collapsed="false">
      <c r="A7" s="39" t="s">
        <v>49</v>
      </c>
      <c r="B7" s="30" t="s">
        <v>671</v>
      </c>
      <c r="C7" s="24" t="s">
        <v>331</v>
      </c>
      <c r="D7" s="40" t="n">
        <v>425083</v>
      </c>
      <c r="E7" s="41" t="n">
        <v>91841</v>
      </c>
      <c r="F7" s="41" t="n">
        <v>49381</v>
      </c>
      <c r="G7" s="41" t="n">
        <v>61280</v>
      </c>
      <c r="H7" s="41" t="n">
        <v>0</v>
      </c>
      <c r="I7" s="41" t="n">
        <v>0</v>
      </c>
      <c r="J7" s="41" t="n">
        <v>231220</v>
      </c>
      <c r="K7" s="41" t="n">
        <v>74207</v>
      </c>
      <c r="L7" s="40" t="n">
        <v>1451</v>
      </c>
      <c r="M7" s="42" t="n">
        <v>35597</v>
      </c>
      <c r="N7" s="41" t="n">
        <v>426905</v>
      </c>
      <c r="O7" s="41" t="n">
        <v>295230</v>
      </c>
      <c r="P7" s="41" t="n">
        <v>130224</v>
      </c>
      <c r="Q7" s="9" t="n">
        <f aca="false">IF(D7&gt;0,E7/D7,0)</f>
        <v>0.21605427645895</v>
      </c>
      <c r="R7" s="9" t="n">
        <f aca="false">IF(D7&gt;0,L7/D7,0)</f>
        <v>0.00341345102015371</v>
      </c>
      <c r="S7" s="9" t="n">
        <f aca="false">IF(D7&gt;0,M7/D7,0)</f>
        <v>0.0837412928769205</v>
      </c>
      <c r="T7" s="30" t="s">
        <v>672</v>
      </c>
      <c r="U7" s="30" t="s">
        <v>673</v>
      </c>
      <c r="V7" s="30" t="s">
        <v>674</v>
      </c>
      <c r="W7" s="30" t="s">
        <v>675</v>
      </c>
    </row>
    <row r="8" customFormat="false" ht="79.5" hidden="false" customHeight="true" outlineLevel="0" collapsed="false">
      <c r="A8" s="39" t="s">
        <v>26</v>
      </c>
      <c r="B8" s="30" t="s">
        <v>676</v>
      </c>
      <c r="C8" s="24" t="s">
        <v>677</v>
      </c>
      <c r="D8" s="40" t="n">
        <v>222135</v>
      </c>
      <c r="E8" s="41" t="n">
        <v>14859</v>
      </c>
      <c r="F8" s="41" t="n">
        <v>51975</v>
      </c>
      <c r="G8" s="41" t="n">
        <v>0</v>
      </c>
      <c r="H8" s="41" t="n">
        <v>107206</v>
      </c>
      <c r="I8" s="41" t="n">
        <v>0</v>
      </c>
      <c r="J8" s="41" t="n">
        <v>129489</v>
      </c>
      <c r="K8" s="41" t="n">
        <v>28669</v>
      </c>
      <c r="L8" s="40" t="n">
        <v>0</v>
      </c>
      <c r="M8" s="40" t="n">
        <v>5535</v>
      </c>
      <c r="N8" s="41" t="n">
        <v>184488</v>
      </c>
      <c r="O8" s="41" t="n">
        <v>164459</v>
      </c>
      <c r="P8" s="41" t="n">
        <v>20029</v>
      </c>
      <c r="Q8" s="9" t="n">
        <f aca="false">IF(D8&gt;0,E8/D8,0)</f>
        <v>0.0668917550138429</v>
      </c>
      <c r="R8" s="9" t="n">
        <f aca="false">IF(D8&gt;0,L8/D8,0)</f>
        <v>0</v>
      </c>
      <c r="S8" s="9" t="n">
        <f aca="false">IF(D8&gt;0,M8/D8,0)</f>
        <v>0.0249172800324127</v>
      </c>
      <c r="T8" s="30" t="s">
        <v>678</v>
      </c>
      <c r="U8" s="30" t="s">
        <v>679</v>
      </c>
      <c r="V8" s="30" t="s">
        <v>680</v>
      </c>
      <c r="W8" s="30" t="s">
        <v>681</v>
      </c>
    </row>
    <row r="9" customFormat="false" ht="79.5" hidden="false" customHeight="true" outlineLevel="0" collapsed="false">
      <c r="A9" s="39" t="s">
        <v>47</v>
      </c>
      <c r="B9" s="30" t="s">
        <v>682</v>
      </c>
      <c r="C9" s="24" t="s">
        <v>677</v>
      </c>
      <c r="D9" s="40" t="n">
        <v>447338</v>
      </c>
      <c r="E9" s="41" t="n">
        <v>46383</v>
      </c>
      <c r="F9" s="41" t="n">
        <v>0</v>
      </c>
      <c r="G9" s="41" t="n">
        <v>103000</v>
      </c>
      <c r="H9" s="41" t="n">
        <v>235822</v>
      </c>
      <c r="I9" s="41" t="n">
        <v>0</v>
      </c>
      <c r="J9" s="41" t="n">
        <v>17649</v>
      </c>
      <c r="K9" s="41" t="n">
        <v>80116</v>
      </c>
      <c r="L9" s="40" t="n">
        <v>0</v>
      </c>
      <c r="M9" s="40" t="n">
        <v>4000</v>
      </c>
      <c r="N9" s="41" t="n">
        <v>456417</v>
      </c>
      <c r="O9" s="41" t="n">
        <v>339475</v>
      </c>
      <c r="P9" s="41" t="n">
        <v>116942</v>
      </c>
      <c r="Q9" s="9" t="n">
        <f aca="false">IF(D9&gt;0,E9/D9,0)</f>
        <v>0.103686697754271</v>
      </c>
      <c r="R9" s="9" t="n">
        <f aca="false">IF(D9&gt;0,L9/D9,0)</f>
        <v>0</v>
      </c>
      <c r="S9" s="9" t="n">
        <f aca="false">IF(D9&gt;0,M9/D9,0)</f>
        <v>0.00894178451193505</v>
      </c>
      <c r="T9" s="30" t="s">
        <v>683</v>
      </c>
      <c r="U9" s="30" t="s">
        <v>684</v>
      </c>
      <c r="V9" s="30" t="s">
        <v>685</v>
      </c>
      <c r="W9" s="30" t="s">
        <v>686</v>
      </c>
    </row>
    <row r="10" customFormat="false" ht="63.75" hidden="false" customHeight="true" outlineLevel="0" collapsed="false">
      <c r="A10" s="39" t="s">
        <v>102</v>
      </c>
      <c r="B10" s="30" t="s">
        <v>687</v>
      </c>
      <c r="C10" s="24" t="s">
        <v>688</v>
      </c>
      <c r="D10" s="40" t="n">
        <v>484402</v>
      </c>
      <c r="E10" s="41" t="n">
        <v>16020</v>
      </c>
      <c r="F10" s="41" t="n">
        <v>10000</v>
      </c>
      <c r="G10" s="41" t="n">
        <v>100000</v>
      </c>
      <c r="H10" s="41" t="n">
        <v>162363</v>
      </c>
      <c r="I10" s="41" t="n">
        <v>0</v>
      </c>
      <c r="J10" s="41" t="n">
        <v>188422</v>
      </c>
      <c r="K10" s="41" t="n">
        <v>165448</v>
      </c>
      <c r="L10" s="42" t="n">
        <v>53241</v>
      </c>
      <c r="M10" s="40" t="n">
        <v>8650</v>
      </c>
      <c r="N10" s="41" t="n">
        <v>344103</v>
      </c>
      <c r="O10" s="41" t="n">
        <v>0</v>
      </c>
      <c r="P10" s="41" t="n">
        <v>0</v>
      </c>
      <c r="Q10" s="9" t="n">
        <f aca="false">IF(D10&gt;0,E10/D10,0)</f>
        <v>0.0330717049062556</v>
      </c>
      <c r="R10" s="9" t="n">
        <f aca="false">IF(D10&gt;0,L10/D10,0)</f>
        <v>0.109910776586389</v>
      </c>
      <c r="S10" s="9" t="n">
        <f aca="false">IF(D10&gt;0,M10/D10,0)</f>
        <v>0.0178570691285337</v>
      </c>
      <c r="T10" s="30" t="s">
        <v>689</v>
      </c>
      <c r="U10" s="30" t="s">
        <v>593</v>
      </c>
      <c r="V10" s="30" t="s">
        <v>690</v>
      </c>
      <c r="W10" s="30" t="s">
        <v>691</v>
      </c>
    </row>
  </sheetData>
  <mergeCells count="1">
    <mergeCell ref="A1:W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22" width="55"/>
    <col collapsed="false" customWidth="true" hidden="false" outlineLevel="0" max="2" min="2" style="22" width="60"/>
  </cols>
  <sheetData>
    <row r="1" customFormat="false" ht="17.25" hidden="false" customHeight="true" outlineLevel="0" collapsed="false">
      <c r="A1" s="43" t="s">
        <v>692</v>
      </c>
    </row>
    <row r="2" customFormat="false" ht="15" hidden="false" customHeight="true" outlineLevel="0" collapsed="false">
      <c r="A2" s="36" t="s">
        <v>693</v>
      </c>
    </row>
    <row r="4" customFormat="false" ht="15" hidden="false" customHeight="true" outlineLevel="0" collapsed="false">
      <c r="A4" s="36"/>
      <c r="B4" s="36"/>
    </row>
    <row r="5" customFormat="false" ht="15" hidden="false" customHeight="true" outlineLevel="0" collapsed="false">
      <c r="A5" s="44" t="s">
        <v>694</v>
      </c>
      <c r="B5" s="36" t="s">
        <v>695</v>
      </c>
    </row>
    <row r="6" customFormat="false" ht="15" hidden="false" customHeight="true" outlineLevel="0" collapsed="false">
      <c r="A6" s="36" t="s">
        <v>696</v>
      </c>
      <c r="B6" s="36" t="s">
        <v>697</v>
      </c>
    </row>
    <row r="7" customFormat="false" ht="15" hidden="false" customHeight="true" outlineLevel="0" collapsed="false">
      <c r="A7" s="36" t="s">
        <v>698</v>
      </c>
      <c r="B7" s="36" t="s">
        <v>699</v>
      </c>
    </row>
    <row r="8" customFormat="false" ht="15" hidden="false" customHeight="true" outlineLevel="0" collapsed="false">
      <c r="A8" s="36" t="s">
        <v>700</v>
      </c>
      <c r="B8" s="36" t="s">
        <v>701</v>
      </c>
    </row>
    <row r="9" customFormat="false" ht="15" hidden="false" customHeight="true" outlineLevel="0" collapsed="false">
      <c r="A9" s="36" t="s">
        <v>702</v>
      </c>
      <c r="B9" s="36" t="s">
        <v>703</v>
      </c>
    </row>
    <row r="10" customFormat="false" ht="15" hidden="false" customHeight="true" outlineLevel="0" collapsed="false">
      <c r="A10" s="36" t="s">
        <v>704</v>
      </c>
      <c r="B10" s="36" t="s">
        <v>705</v>
      </c>
    </row>
    <row r="11" customFormat="false" ht="15" hidden="false" customHeight="true" outlineLevel="0" collapsed="false">
      <c r="A11" s="36" t="s">
        <v>706</v>
      </c>
      <c r="B11" s="36" t="s">
        <v>707</v>
      </c>
    </row>
    <row r="12" customFormat="false" ht="15" hidden="false" customHeight="true" outlineLevel="0" collapsed="false">
      <c r="A12" s="36" t="s">
        <v>708</v>
      </c>
      <c r="B12" s="36" t="s">
        <v>709</v>
      </c>
    </row>
    <row r="13" customFormat="false" ht="15" hidden="false" customHeight="true" outlineLevel="0" collapsed="false">
      <c r="A13" s="36" t="s">
        <v>710</v>
      </c>
      <c r="B13" s="36" t="s">
        <v>711</v>
      </c>
    </row>
    <row r="14" customFormat="false" ht="15" hidden="false" customHeight="true" outlineLevel="0" collapsed="false">
      <c r="A14" s="36" t="s">
        <v>712</v>
      </c>
      <c r="B14" s="36" t="s">
        <v>713</v>
      </c>
    </row>
    <row r="15" customFormat="false" ht="15" hidden="false" customHeight="true" outlineLevel="0" collapsed="false">
      <c r="A15" s="36" t="s">
        <v>714</v>
      </c>
      <c r="B15" s="36" t="s">
        <v>715</v>
      </c>
    </row>
    <row r="16" customFormat="false" ht="15" hidden="false" customHeight="true" outlineLevel="0" collapsed="false">
      <c r="A16" s="36" t="s">
        <v>716</v>
      </c>
      <c r="B16" s="36" t="s">
        <v>717</v>
      </c>
    </row>
    <row r="17" customFormat="false" ht="15" hidden="false" customHeight="true" outlineLevel="0" collapsed="false">
      <c r="A17" s="36"/>
      <c r="B17" s="36"/>
    </row>
    <row r="18" customFormat="false" ht="15" hidden="false" customHeight="true" outlineLevel="0" collapsed="false">
      <c r="A18" s="44" t="s">
        <v>718</v>
      </c>
      <c r="B18" s="36"/>
    </row>
    <row r="19" customFormat="false" ht="15" hidden="false" customHeight="true" outlineLevel="0" collapsed="false">
      <c r="A19" s="36" t="s">
        <v>719</v>
      </c>
      <c r="B19" s="36" t="s">
        <v>720</v>
      </c>
    </row>
    <row r="20" customFormat="false" ht="15" hidden="false" customHeight="true" outlineLevel="0" collapsed="false">
      <c r="A20" s="36" t="s">
        <v>721</v>
      </c>
      <c r="B20" s="36" t="s">
        <v>722</v>
      </c>
    </row>
    <row r="21" customFormat="false" ht="15" hidden="false" customHeight="true" outlineLevel="0" collapsed="false">
      <c r="A21" s="36" t="s">
        <v>723</v>
      </c>
      <c r="B21" s="36" t="s">
        <v>724</v>
      </c>
    </row>
    <row r="22" customFormat="false" ht="15" hidden="false" customHeight="true" outlineLevel="0" collapsed="false">
      <c r="A22" s="36" t="s">
        <v>725</v>
      </c>
      <c r="B22" s="36" t="s">
        <v>726</v>
      </c>
    </row>
    <row r="23" customFormat="false" ht="15" hidden="false" customHeight="true" outlineLevel="0" collapsed="false">
      <c r="A23" s="36"/>
      <c r="B23" s="36"/>
    </row>
    <row r="24" customFormat="false" ht="15" hidden="false" customHeight="true" outlineLevel="0" collapsed="false">
      <c r="A24" s="44" t="s">
        <v>727</v>
      </c>
      <c r="B24" s="36"/>
    </row>
    <row r="25" customFormat="false" ht="15" hidden="false" customHeight="true" outlineLevel="0" collapsed="false">
      <c r="A25" s="36" t="s">
        <v>728</v>
      </c>
      <c r="B25" s="36" t="s">
        <v>729</v>
      </c>
    </row>
    <row r="26" customFormat="false" ht="15" hidden="false" customHeight="true" outlineLevel="0" collapsed="false">
      <c r="A26" s="36" t="s">
        <v>730</v>
      </c>
      <c r="B26" s="36" t="s">
        <v>731</v>
      </c>
    </row>
    <row r="27" customFormat="false" ht="15" hidden="false" customHeight="true" outlineLevel="0" collapsed="false">
      <c r="A27" s="36" t="s">
        <v>732</v>
      </c>
      <c r="B27" s="36" t="s">
        <v>733</v>
      </c>
    </row>
    <row r="28" customFormat="false" ht="15" hidden="false" customHeight="true" outlineLevel="0" collapsed="false">
      <c r="A28" s="36"/>
      <c r="B28" s="36"/>
    </row>
    <row r="29" customFormat="false" ht="15" hidden="false" customHeight="true" outlineLevel="0" collapsed="false">
      <c r="A29" s="44" t="s">
        <v>734</v>
      </c>
      <c r="B29" s="36"/>
    </row>
    <row r="30" customFormat="false" ht="15" hidden="false" customHeight="true" outlineLevel="0" collapsed="false">
      <c r="A30" s="36" t="s">
        <v>735</v>
      </c>
      <c r="B30" s="36" t="s">
        <v>736</v>
      </c>
    </row>
    <row r="31" customFormat="false" ht="15" hidden="false" customHeight="true" outlineLevel="0" collapsed="false">
      <c r="A31" s="36" t="s">
        <v>737</v>
      </c>
      <c r="B31" s="36" t="s">
        <v>738</v>
      </c>
    </row>
    <row r="32" customFormat="false" ht="15" hidden="false" customHeight="true" outlineLevel="0" collapsed="false">
      <c r="A32" s="36"/>
      <c r="B32" s="36"/>
    </row>
    <row r="33" customFormat="false" ht="15" hidden="false" customHeight="true" outlineLevel="0" collapsed="false">
      <c r="A33" s="36" t="s">
        <v>739</v>
      </c>
      <c r="B33" s="36"/>
    </row>
    <row r="34" customFormat="false" ht="15" hidden="false" customHeight="true" outlineLevel="0" collapsed="false">
      <c r="A34" s="36" t="s">
        <v>740</v>
      </c>
      <c r="B34" s="36" t="s">
        <v>741</v>
      </c>
    </row>
    <row r="35" customFormat="false" ht="15" hidden="false" customHeight="true" outlineLevel="0" collapsed="false">
      <c r="A35" s="36" t="s">
        <v>742</v>
      </c>
      <c r="B35" s="36" t="s">
        <v>743</v>
      </c>
    </row>
    <row r="36" customFormat="false" ht="15" hidden="false" customHeight="true" outlineLevel="0" collapsed="false">
      <c r="A36" s="36"/>
      <c r="B36" s="36"/>
    </row>
    <row r="37" customFormat="false" ht="15" hidden="false" customHeight="true" outlineLevel="0" collapsed="false">
      <c r="A37" s="44" t="s">
        <v>744</v>
      </c>
      <c r="B37" s="36"/>
    </row>
    <row r="38" customFormat="false" ht="15" hidden="false" customHeight="true" outlineLevel="0" collapsed="false">
      <c r="A38" s="36" t="s">
        <v>745</v>
      </c>
      <c r="B38" s="36" t="s">
        <v>746</v>
      </c>
    </row>
    <row r="39" customFormat="false" ht="15" hidden="false" customHeight="true" outlineLevel="0" collapsed="false">
      <c r="A39" s="36" t="s">
        <v>747</v>
      </c>
      <c r="B39" s="36" t="s">
        <v>748</v>
      </c>
    </row>
    <row r="40" customFormat="false" ht="15" hidden="false" customHeight="true" outlineLevel="0" collapsed="false">
      <c r="A40" s="36" t="s">
        <v>749</v>
      </c>
      <c r="B40" s="36" t="s">
        <v>750</v>
      </c>
    </row>
    <row r="41" customFormat="false" ht="15" hidden="false" customHeight="true" outlineLevel="0" collapsed="false">
      <c r="A41" s="36" t="s">
        <v>751</v>
      </c>
      <c r="B41" s="36" t="s">
        <v>752</v>
      </c>
    </row>
    <row r="42" customFormat="false" ht="15" hidden="false" customHeight="true" outlineLevel="0" collapsed="false">
      <c r="A42" s="36" t="s">
        <v>753</v>
      </c>
      <c r="B42" s="36" t="s">
        <v>754</v>
      </c>
    </row>
    <row r="43" customFormat="false" ht="15" hidden="false" customHeight="true" outlineLevel="0" collapsed="false">
      <c r="A43" s="36" t="s">
        <v>755</v>
      </c>
      <c r="B43" s="36" t="s">
        <v>756</v>
      </c>
    </row>
    <row r="44" customFormat="false" ht="15" hidden="false" customHeight="true" outlineLevel="0" collapsed="false">
      <c r="A44" s="36" t="s">
        <v>757</v>
      </c>
      <c r="B44" s="36" t="s">
        <v>758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22" width="35"/>
    <col collapsed="false" customWidth="true" hidden="false" outlineLevel="0" max="2" min="2" style="22" width="30"/>
    <col collapsed="false" customWidth="true" hidden="false" outlineLevel="0" max="3" min="3" style="22" width="25"/>
    <col collapsed="false" customWidth="true" hidden="false" outlineLevel="0" max="4" min="4" style="22" width="50"/>
    <col collapsed="false" customWidth="true" hidden="false" outlineLevel="0" max="5" min="5" style="22" width="60"/>
  </cols>
  <sheetData>
    <row r="1" customFormat="false" ht="15" hidden="false" customHeight="true" outlineLevel="0" collapsed="false">
      <c r="A1" s="23" t="s">
        <v>759</v>
      </c>
      <c r="B1" s="23" t="s">
        <v>532</v>
      </c>
      <c r="C1" s="23" t="s">
        <v>188</v>
      </c>
      <c r="D1" s="23" t="s">
        <v>760</v>
      </c>
      <c r="E1" s="23" t="s">
        <v>761</v>
      </c>
    </row>
    <row r="2" customFormat="false" ht="23.25" hidden="false" customHeight="true" outlineLevel="0" collapsed="false">
      <c r="A2" s="24" t="s">
        <v>762</v>
      </c>
      <c r="B2" s="24" t="s">
        <v>763</v>
      </c>
      <c r="C2" s="24" t="s">
        <v>764</v>
      </c>
      <c r="D2" s="24" t="s">
        <v>765</v>
      </c>
      <c r="E2" s="24" t="s">
        <v>766</v>
      </c>
    </row>
    <row r="3" customFormat="false" ht="23.25" hidden="false" customHeight="true" outlineLevel="0" collapsed="false">
      <c r="A3" s="24" t="s">
        <v>767</v>
      </c>
      <c r="B3" s="24" t="s">
        <v>768</v>
      </c>
      <c r="C3" s="24" t="s">
        <v>769</v>
      </c>
      <c r="D3" s="24" t="s">
        <v>770</v>
      </c>
      <c r="E3" s="24" t="s">
        <v>771</v>
      </c>
    </row>
    <row r="4" customFormat="false" ht="23.25" hidden="false" customHeight="true" outlineLevel="0" collapsed="false">
      <c r="A4" s="24" t="s">
        <v>772</v>
      </c>
      <c r="B4" s="24" t="s">
        <v>773</v>
      </c>
      <c r="C4" s="24" t="s">
        <v>774</v>
      </c>
      <c r="D4" s="24" t="s">
        <v>775</v>
      </c>
      <c r="E4" s="24" t="s">
        <v>776</v>
      </c>
    </row>
    <row r="5" customFormat="false" ht="23.25" hidden="false" customHeight="true" outlineLevel="0" collapsed="false">
      <c r="A5" s="24" t="s">
        <v>777</v>
      </c>
      <c r="B5" s="24" t="s">
        <v>773</v>
      </c>
      <c r="C5" s="24" t="s">
        <v>778</v>
      </c>
      <c r="D5" s="24" t="s">
        <v>779</v>
      </c>
      <c r="E5" s="24" t="s">
        <v>780</v>
      </c>
    </row>
    <row r="6" customFormat="false" ht="23.25" hidden="false" customHeight="true" outlineLevel="0" collapsed="false">
      <c r="A6" s="24" t="s">
        <v>781</v>
      </c>
      <c r="B6" s="24" t="s">
        <v>782</v>
      </c>
      <c r="C6" s="24" t="s">
        <v>783</v>
      </c>
      <c r="D6" s="24" t="s">
        <v>784</v>
      </c>
      <c r="E6" s="24" t="s">
        <v>785</v>
      </c>
    </row>
    <row r="7" customFormat="false" ht="15" hidden="false" customHeight="true" outlineLevel="0" collapsed="false">
      <c r="A7" s="24" t="s">
        <v>786</v>
      </c>
      <c r="B7" s="24" t="s">
        <v>787</v>
      </c>
      <c r="C7" s="24" t="s">
        <v>788</v>
      </c>
      <c r="D7" s="24" t="s">
        <v>789</v>
      </c>
      <c r="E7" s="24" t="s">
        <v>790</v>
      </c>
    </row>
    <row r="8" customFormat="false" ht="15" hidden="false" customHeight="true" outlineLevel="0" collapsed="false">
      <c r="A8" s="24" t="s">
        <v>791</v>
      </c>
      <c r="B8" s="24" t="s">
        <v>792</v>
      </c>
      <c r="C8" s="24" t="s">
        <v>793</v>
      </c>
      <c r="D8" s="24" t="s">
        <v>779</v>
      </c>
      <c r="E8" s="24" t="s">
        <v>794</v>
      </c>
    </row>
    <row r="9" customFormat="false" ht="15" hidden="false" customHeight="true" outlineLevel="0" collapsed="false">
      <c r="A9" s="24" t="s">
        <v>795</v>
      </c>
      <c r="B9" s="24" t="s">
        <v>796</v>
      </c>
      <c r="C9" s="24" t="s">
        <v>797</v>
      </c>
      <c r="D9" s="24" t="s">
        <v>798</v>
      </c>
      <c r="E9" s="24" t="s">
        <v>799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22" width="90"/>
  </cols>
  <sheetData>
    <row r="1" customFormat="false" ht="15" hidden="false" customHeight="true" outlineLevel="0" collapsed="false">
      <c r="A1" s="45" t="s">
        <v>800</v>
      </c>
    </row>
    <row r="2" customFormat="false" ht="15" hidden="false" customHeight="true" outlineLevel="0" collapsed="false">
      <c r="A2" s="36"/>
    </row>
    <row r="3" customFormat="false" ht="15" hidden="false" customHeight="true" outlineLevel="0" collapsed="false">
      <c r="A3" s="36" t="s">
        <v>801</v>
      </c>
    </row>
    <row r="4" customFormat="false" ht="15" hidden="false" customHeight="true" outlineLevel="0" collapsed="false">
      <c r="A4" s="36" t="s">
        <v>802</v>
      </c>
    </row>
    <row r="5" customFormat="false" ht="15" hidden="false" customHeight="true" outlineLevel="0" collapsed="false">
      <c r="A5" s="36" t="s">
        <v>803</v>
      </c>
    </row>
    <row r="6" customFormat="false" ht="15" hidden="false" customHeight="true" outlineLevel="0" collapsed="false">
      <c r="A6" s="36" t="s">
        <v>804</v>
      </c>
    </row>
    <row r="7" customFormat="false" ht="15" hidden="false" customHeight="true" outlineLevel="0" collapsed="false">
      <c r="A7" s="36"/>
    </row>
    <row r="8" customFormat="false" ht="15" hidden="false" customHeight="true" outlineLevel="0" collapsed="false">
      <c r="A8" s="45" t="s">
        <v>805</v>
      </c>
    </row>
    <row r="9" customFormat="false" ht="15" hidden="false" customHeight="true" outlineLevel="0" collapsed="false">
      <c r="A9" s="36" t="s">
        <v>806</v>
      </c>
    </row>
    <row r="10" customFormat="false" ht="15" hidden="false" customHeight="true" outlineLevel="0" collapsed="false">
      <c r="A10" s="36" t="s">
        <v>807</v>
      </c>
    </row>
    <row r="11" customFormat="false" ht="15" hidden="false" customHeight="true" outlineLevel="0" collapsed="false">
      <c r="A11" s="36" t="s">
        <v>808</v>
      </c>
    </row>
    <row r="12" customFormat="false" ht="15" hidden="false" customHeight="true" outlineLevel="0" collapsed="false">
      <c r="A12" s="36" t="s">
        <v>809</v>
      </c>
    </row>
    <row r="13" customFormat="false" ht="15" hidden="false" customHeight="true" outlineLevel="0" collapsed="false">
      <c r="A13" s="36" t="s">
        <v>810</v>
      </c>
    </row>
    <row r="14" customFormat="false" ht="15" hidden="false" customHeight="true" outlineLevel="0" collapsed="false">
      <c r="A14" s="36" t="s">
        <v>811</v>
      </c>
    </row>
    <row r="15" customFormat="false" ht="15" hidden="false" customHeight="true" outlineLevel="0" collapsed="false">
      <c r="A15" s="36" t="s">
        <v>812</v>
      </c>
    </row>
    <row r="16" customFormat="false" ht="15" hidden="false" customHeight="true" outlineLevel="0" collapsed="false">
      <c r="A16" s="36" t="s">
        <v>813</v>
      </c>
    </row>
    <row r="17" customFormat="false" ht="15" hidden="false" customHeight="true" outlineLevel="0" collapsed="false">
      <c r="A17" s="36" t="s">
        <v>814</v>
      </c>
    </row>
    <row r="18" customFormat="false" ht="15" hidden="false" customHeight="true" outlineLevel="0" collapsed="false">
      <c r="A18" s="36" t="s">
        <v>815</v>
      </c>
    </row>
    <row r="19" customFormat="false" ht="15" hidden="false" customHeight="true" outlineLevel="0" collapsed="false">
      <c r="A19" s="36" t="s">
        <v>816</v>
      </c>
    </row>
    <row r="20" customFormat="false" ht="15" hidden="false" customHeight="true" outlineLevel="0" collapsed="false">
      <c r="A20" s="36"/>
    </row>
    <row r="21" customFormat="false" ht="15" hidden="false" customHeight="true" outlineLevel="0" collapsed="false">
      <c r="A21" s="45" t="s">
        <v>817</v>
      </c>
    </row>
    <row r="22" customFormat="false" ht="15" hidden="false" customHeight="true" outlineLevel="0" collapsed="false">
      <c r="A22" s="36" t="s">
        <v>818</v>
      </c>
    </row>
    <row r="23" customFormat="false" ht="15" hidden="false" customHeight="true" outlineLevel="0" collapsed="false">
      <c r="A23" s="36" t="s">
        <v>819</v>
      </c>
    </row>
    <row r="24" customFormat="false" ht="15" hidden="false" customHeight="true" outlineLevel="0" collapsed="false">
      <c r="A24" s="36" t="s">
        <v>820</v>
      </c>
    </row>
    <row r="25" customFormat="false" ht="15" hidden="false" customHeight="true" outlineLevel="0" collapsed="false">
      <c r="A25" s="36" t="s">
        <v>821</v>
      </c>
    </row>
    <row r="26" customFormat="false" ht="15" hidden="false" customHeight="true" outlineLevel="0" collapsed="false">
      <c r="A26" s="36" t="s">
        <v>822</v>
      </c>
    </row>
    <row r="27" customFormat="false" ht="15" hidden="false" customHeight="true" outlineLevel="0" collapsed="false">
      <c r="A27" s="36" t="s">
        <v>823</v>
      </c>
    </row>
    <row r="28" customFormat="false" ht="15" hidden="false" customHeight="true" outlineLevel="0" collapsed="false">
      <c r="A28" s="36"/>
    </row>
    <row r="29" customFormat="false" ht="15" hidden="false" customHeight="true" outlineLevel="0" collapsed="false">
      <c r="A29" s="45" t="s">
        <v>824</v>
      </c>
    </row>
    <row r="30" customFormat="false" ht="15" hidden="false" customHeight="true" outlineLevel="0" collapsed="false">
      <c r="A30" s="36" t="s">
        <v>825</v>
      </c>
    </row>
    <row r="31" customFormat="false" ht="15" hidden="false" customHeight="true" outlineLevel="0" collapsed="false">
      <c r="A31" s="36" t="s">
        <v>826</v>
      </c>
    </row>
    <row r="32" customFormat="false" ht="15" hidden="false" customHeight="true" outlineLevel="0" collapsed="false">
      <c r="A32" s="36" t="s">
        <v>827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22" width="28"/>
    <col collapsed="false" customWidth="true" hidden="false" outlineLevel="0" max="2" min="2" style="22" width="14"/>
    <col collapsed="false" customWidth="true" hidden="false" outlineLevel="0" max="3" min="3" style="22" width="6"/>
    <col collapsed="false" customWidth="true" hidden="false" outlineLevel="0" max="4" min="4" style="22" width="20"/>
    <col collapsed="false" customWidth="true" hidden="false" outlineLevel="0" max="5" min="5" style="22" width="12"/>
    <col collapsed="false" customWidth="true" hidden="false" outlineLevel="0" max="8" min="6" style="22" width="15"/>
    <col collapsed="false" customWidth="true" hidden="false" outlineLevel="0" max="9" min="9" style="22" width="12"/>
    <col collapsed="false" customWidth="true" hidden="false" outlineLevel="0" max="10" min="10" style="22" width="14"/>
    <col collapsed="false" customWidth="true" hidden="false" outlineLevel="0" max="13" min="11" style="22" width="15"/>
    <col collapsed="false" customWidth="true" hidden="false" outlineLevel="0" max="14" min="14" style="22" width="14"/>
    <col collapsed="false" customWidth="true" hidden="false" outlineLevel="0" max="16" min="15" style="22" width="15"/>
    <col collapsed="false" customWidth="true" hidden="false" outlineLevel="0" max="18" min="17" style="22" width="14"/>
    <col collapsed="false" customWidth="true" hidden="false" outlineLevel="0" max="20" min="19" style="22" width="12"/>
    <col collapsed="false" customWidth="true" hidden="false" outlineLevel="0" max="21" min="21" style="22" width="10"/>
    <col collapsed="false" customWidth="true" hidden="false" outlineLevel="0" max="22" min="22" style="22" width="30"/>
    <col collapsed="false" customWidth="true" hidden="false" outlineLevel="0" max="23" min="23" style="22" width="35"/>
    <col collapsed="false" customWidth="true" hidden="false" outlineLevel="0" max="24" min="24" style="22" width="60"/>
  </cols>
  <sheetData>
    <row r="1" customFormat="false" ht="15" hidden="false" customHeight="true" outlineLevel="0" collapsed="false">
      <c r="A1" s="46" t="s">
        <v>828</v>
      </c>
    </row>
    <row r="2" customFormat="false" ht="15" hidden="false" customHeight="true" outlineLevel="0" collapsed="false">
      <c r="A2" s="47" t="s">
        <v>829</v>
      </c>
    </row>
    <row r="3" customFormat="false" ht="26.25" hidden="false" customHeight="true" outlineLevel="0" collapsed="false">
      <c r="A3" s="48" t="s">
        <v>830</v>
      </c>
      <c r="B3" s="48" t="s">
        <v>831</v>
      </c>
      <c r="C3" s="48" t="s">
        <v>6</v>
      </c>
      <c r="D3" s="48" t="s">
        <v>275</v>
      </c>
      <c r="E3" s="48" t="s">
        <v>832</v>
      </c>
      <c r="F3" s="48" t="s">
        <v>7</v>
      </c>
      <c r="G3" s="48" t="s">
        <v>8</v>
      </c>
      <c r="H3" s="48" t="s">
        <v>833</v>
      </c>
      <c r="I3" s="48" t="s">
        <v>834</v>
      </c>
      <c r="J3" s="48" t="s">
        <v>835</v>
      </c>
      <c r="K3" s="48" t="s">
        <v>12</v>
      </c>
      <c r="L3" s="48" t="s">
        <v>836</v>
      </c>
      <c r="M3" s="48" t="s">
        <v>837</v>
      </c>
      <c r="N3" s="48" t="s">
        <v>11</v>
      </c>
      <c r="O3" s="48" t="s">
        <v>838</v>
      </c>
      <c r="P3" s="48" t="s">
        <v>839</v>
      </c>
      <c r="Q3" s="48" t="s">
        <v>840</v>
      </c>
      <c r="R3" s="48" t="s">
        <v>841</v>
      </c>
      <c r="S3" s="48" t="s">
        <v>13</v>
      </c>
      <c r="T3" s="48" t="s">
        <v>842</v>
      </c>
      <c r="U3" s="48" t="s">
        <v>843</v>
      </c>
      <c r="V3" s="48" t="s">
        <v>844</v>
      </c>
      <c r="W3" s="48" t="s">
        <v>651</v>
      </c>
      <c r="X3" s="48" t="s">
        <v>290</v>
      </c>
    </row>
    <row r="4" customFormat="false" ht="34.5" hidden="false" customHeight="true" outlineLevel="0" collapsed="false">
      <c r="A4" s="49" t="s">
        <v>29</v>
      </c>
      <c r="B4" s="49" t="s">
        <v>845</v>
      </c>
      <c r="C4" s="49" t="s">
        <v>18</v>
      </c>
      <c r="D4" s="49" t="s">
        <v>846</v>
      </c>
      <c r="E4" s="49" t="s">
        <v>297</v>
      </c>
      <c r="F4" s="50" t="n">
        <v>2324469</v>
      </c>
      <c r="G4" s="51" t="n">
        <v>1011406</v>
      </c>
      <c r="H4" s="51" t="n">
        <v>0</v>
      </c>
      <c r="I4" s="51" t="n">
        <v>0</v>
      </c>
      <c r="J4" s="51" t="n">
        <v>0</v>
      </c>
      <c r="K4" s="51" t="n">
        <v>2548554</v>
      </c>
      <c r="L4" s="51" t="n">
        <v>1688424</v>
      </c>
      <c r="M4" s="52" t="n">
        <v>11093</v>
      </c>
      <c r="N4" s="50" t="n">
        <v>28369</v>
      </c>
      <c r="O4" s="51" t="n">
        <v>2280807</v>
      </c>
      <c r="P4" s="51" t="n">
        <v>1911043</v>
      </c>
      <c r="Q4" s="51" t="n">
        <v>358671</v>
      </c>
      <c r="R4" s="51" t="n">
        <v>39649</v>
      </c>
      <c r="S4" s="53" t="n">
        <f aca="false">IF(F4&gt;0,(G4+H4)/F4,0)</f>
        <v>0.43511270746136</v>
      </c>
      <c r="T4" s="53" t="n">
        <f aca="false">IF(F4&gt;0,M4/F4,0)</f>
        <v>0.00477227272121074</v>
      </c>
      <c r="U4" s="49" t="n">
        <v>5</v>
      </c>
      <c r="V4" s="49" t="s">
        <v>199</v>
      </c>
      <c r="W4" s="49" t="s">
        <v>847</v>
      </c>
      <c r="X4" s="49" t="s">
        <v>31</v>
      </c>
    </row>
    <row r="5" customFormat="false" ht="34.5" hidden="false" customHeight="true" outlineLevel="0" collapsed="false">
      <c r="A5" s="49" t="s">
        <v>39</v>
      </c>
      <c r="B5" s="49" t="s">
        <v>848</v>
      </c>
      <c r="C5" s="49" t="s">
        <v>18</v>
      </c>
      <c r="D5" s="49" t="s">
        <v>849</v>
      </c>
      <c r="E5" s="49" t="s">
        <v>297</v>
      </c>
      <c r="F5" s="52" t="n">
        <v>1245307</v>
      </c>
      <c r="G5" s="51" t="n">
        <v>71033</v>
      </c>
      <c r="H5" s="51" t="n">
        <v>69874</v>
      </c>
      <c r="I5" s="51" t="n">
        <v>12500</v>
      </c>
      <c r="J5" s="51" t="n">
        <v>140388</v>
      </c>
      <c r="K5" s="51" t="n">
        <v>1306794</v>
      </c>
      <c r="L5" s="51" t="n">
        <v>281741</v>
      </c>
      <c r="M5" s="52" t="n">
        <v>12439</v>
      </c>
      <c r="N5" s="52" t="n">
        <v>12586</v>
      </c>
      <c r="O5" s="51" t="n">
        <v>1055492</v>
      </c>
      <c r="P5" s="51" t="n">
        <v>870053</v>
      </c>
      <c r="Q5" s="51" t="n">
        <v>173000</v>
      </c>
      <c r="R5" s="51" t="n">
        <v>7052</v>
      </c>
      <c r="S5" s="53" t="n">
        <f aca="false">IF(F5&gt;0,(G5+H5)/F5,0)</f>
        <v>0.113150411906462</v>
      </c>
      <c r="T5" s="53" t="n">
        <f aca="false">IF(F5&gt;0,M5/F5,0)</f>
        <v>0.00998870158121652</v>
      </c>
      <c r="U5" s="49" t="n">
        <v>5</v>
      </c>
      <c r="V5" s="49" t="s">
        <v>199</v>
      </c>
      <c r="W5" s="49" t="s">
        <v>850</v>
      </c>
      <c r="X5" s="49" t="s">
        <v>851</v>
      </c>
    </row>
    <row r="6" customFormat="false" ht="34.5" hidden="false" customHeight="true" outlineLevel="0" collapsed="false">
      <c r="A6" s="49" t="s">
        <v>87</v>
      </c>
      <c r="B6" s="49" t="s">
        <v>852</v>
      </c>
      <c r="C6" s="49" t="s">
        <v>88</v>
      </c>
      <c r="D6" s="49" t="s">
        <v>853</v>
      </c>
      <c r="E6" s="49" t="s">
        <v>297</v>
      </c>
      <c r="F6" s="50" t="n">
        <v>3697017</v>
      </c>
      <c r="G6" s="51" t="n">
        <v>214781</v>
      </c>
      <c r="H6" s="51" t="n">
        <v>122141</v>
      </c>
      <c r="I6" s="51" t="n">
        <v>0</v>
      </c>
      <c r="J6" s="51" t="n">
        <v>0</v>
      </c>
      <c r="K6" s="51" t="n">
        <v>7410382</v>
      </c>
      <c r="L6" s="51" t="n">
        <v>1896704</v>
      </c>
      <c r="M6" s="52" t="n">
        <v>0</v>
      </c>
      <c r="N6" s="50" t="n">
        <v>64729</v>
      </c>
      <c r="O6" s="51" t="n">
        <v>3753224</v>
      </c>
      <c r="P6" s="51" t="n">
        <v>2744514</v>
      </c>
      <c r="Q6" s="51" t="n">
        <v>1008710</v>
      </c>
      <c r="R6" s="51" t="n">
        <v>26398</v>
      </c>
      <c r="S6" s="53" t="n">
        <f aca="false">IF(F6&gt;0,(G6+H6)/F6,0)</f>
        <v>0.0911334732840017</v>
      </c>
      <c r="T6" s="53" t="n">
        <f aca="false">IF(F6&gt;0,M6/F6,0)</f>
        <v>0</v>
      </c>
      <c r="U6" s="49" t="n">
        <v>0</v>
      </c>
      <c r="V6" s="49" t="s">
        <v>199</v>
      </c>
      <c r="W6" s="49" t="s">
        <v>854</v>
      </c>
      <c r="X6" s="49" t="s">
        <v>855</v>
      </c>
    </row>
    <row r="7" customFormat="false" ht="23.25" hidden="false" customHeight="true" outlineLevel="0" collapsed="false">
      <c r="A7" s="49" t="s">
        <v>96</v>
      </c>
      <c r="B7" s="49" t="s">
        <v>856</v>
      </c>
      <c r="C7" s="49" t="s">
        <v>88</v>
      </c>
      <c r="D7" s="49" t="s">
        <v>857</v>
      </c>
      <c r="E7" s="49" t="s">
        <v>297</v>
      </c>
      <c r="F7" s="52" t="n">
        <v>1443384</v>
      </c>
      <c r="G7" s="51" t="n">
        <v>5050</v>
      </c>
      <c r="H7" s="51" t="n">
        <v>26816</v>
      </c>
      <c r="I7" s="51" t="n">
        <v>0</v>
      </c>
      <c r="J7" s="51" t="n">
        <v>0</v>
      </c>
      <c r="K7" s="51" t="n">
        <v>131120</v>
      </c>
      <c r="L7" s="51" t="n">
        <v>177663</v>
      </c>
      <c r="M7" s="52" t="n">
        <v>58</v>
      </c>
      <c r="N7" s="50" t="n">
        <v>61473</v>
      </c>
      <c r="O7" s="51" t="n">
        <v>1508606</v>
      </c>
      <c r="P7" s="51" t="n">
        <v>1199356</v>
      </c>
      <c r="Q7" s="51" t="n">
        <v>309193</v>
      </c>
      <c r="R7" s="51" t="n">
        <v>4269</v>
      </c>
      <c r="S7" s="53" t="n">
        <f aca="false">IF(F7&gt;0,(G7+H7)/F7,0)</f>
        <v>0.0220772850468067</v>
      </c>
      <c r="T7" s="53" t="n">
        <f aca="false">IF(F7&gt;0,M7/F7,0)</f>
        <v>4.01833469125333E-005</v>
      </c>
      <c r="U7" s="49" t="n">
        <v>11</v>
      </c>
      <c r="V7" s="49" t="s">
        <v>858</v>
      </c>
      <c r="W7" s="49" t="s">
        <v>854</v>
      </c>
      <c r="X7" s="49" t="s">
        <v>97</v>
      </c>
    </row>
    <row r="8" customFormat="false" ht="34.5" hidden="false" customHeight="true" outlineLevel="0" collapsed="false">
      <c r="A8" s="49" t="s">
        <v>111</v>
      </c>
      <c r="B8" s="49" t="s">
        <v>859</v>
      </c>
      <c r="C8" s="49" t="s">
        <v>112</v>
      </c>
      <c r="D8" s="49" t="s">
        <v>860</v>
      </c>
      <c r="E8" s="49" t="s">
        <v>292</v>
      </c>
      <c r="F8" s="50" t="n">
        <v>9029642</v>
      </c>
      <c r="G8" s="51" t="n">
        <v>12205</v>
      </c>
      <c r="H8" s="51" t="n">
        <v>90</v>
      </c>
      <c r="I8" s="51" t="n">
        <v>0</v>
      </c>
      <c r="J8" s="51" t="n">
        <v>0</v>
      </c>
      <c r="K8" s="51" t="n">
        <v>8219784</v>
      </c>
      <c r="L8" s="51" t="n">
        <v>5794927</v>
      </c>
      <c r="M8" s="52" t="n">
        <v>0</v>
      </c>
      <c r="N8" s="50" t="n">
        <v>151784</v>
      </c>
      <c r="O8" s="51" t="n">
        <v>8589897</v>
      </c>
      <c r="P8" s="51" t="n">
        <v>0</v>
      </c>
      <c r="Q8" s="51" t="n">
        <v>0</v>
      </c>
      <c r="R8" s="51" t="n">
        <v>135881</v>
      </c>
      <c r="S8" s="53" t="n">
        <f aca="false">IF(F8&gt;0,(G8+H8)/F8,0)</f>
        <v>0.00136162651852643</v>
      </c>
      <c r="T8" s="53" t="n">
        <f aca="false">IF(F8&gt;0,M8/F8,0)</f>
        <v>0</v>
      </c>
      <c r="U8" s="49" t="n">
        <v>13</v>
      </c>
      <c r="V8" s="49" t="s">
        <v>199</v>
      </c>
      <c r="W8" s="49" t="s">
        <v>861</v>
      </c>
      <c r="X8" s="49" t="s">
        <v>862</v>
      </c>
    </row>
    <row r="9" customFormat="false" ht="23.25" hidden="false" customHeight="true" outlineLevel="0" collapsed="false">
      <c r="A9" s="49" t="s">
        <v>114</v>
      </c>
      <c r="B9" s="49" t="s">
        <v>852</v>
      </c>
      <c r="C9" s="49" t="s">
        <v>88</v>
      </c>
      <c r="D9" s="49" t="s">
        <v>863</v>
      </c>
      <c r="E9" s="49" t="s">
        <v>297</v>
      </c>
      <c r="F9" s="50" t="n">
        <v>6082191</v>
      </c>
      <c r="G9" s="51" t="n">
        <v>221939</v>
      </c>
      <c r="H9" s="51" t="n">
        <v>299086</v>
      </c>
      <c r="I9" s="51" t="n">
        <v>0</v>
      </c>
      <c r="J9" s="51" t="n">
        <v>0</v>
      </c>
      <c r="K9" s="51" t="n">
        <v>3872464</v>
      </c>
      <c r="L9" s="51" t="n">
        <v>4707074</v>
      </c>
      <c r="M9" s="52" t="n">
        <v>0</v>
      </c>
      <c r="N9" s="50" t="n">
        <v>73597</v>
      </c>
      <c r="O9" s="51" t="n">
        <v>6548439</v>
      </c>
      <c r="P9" s="51" t="n">
        <v>2993677</v>
      </c>
      <c r="Q9" s="51" t="n">
        <v>3554762</v>
      </c>
      <c r="R9" s="51" t="n">
        <v>50173</v>
      </c>
      <c r="S9" s="53" t="n">
        <f aca="false">IF(F9&gt;0,(G9+H9)/F9,0)</f>
        <v>0.0856640312676797</v>
      </c>
      <c r="T9" s="53" t="n">
        <f aca="false">IF(F9&gt;0,M9/F9,0)</f>
        <v>0</v>
      </c>
      <c r="U9" s="49" t="n">
        <v>0</v>
      </c>
      <c r="V9" s="49" t="s">
        <v>199</v>
      </c>
      <c r="W9" s="49" t="s">
        <v>864</v>
      </c>
      <c r="X9" s="49" t="s">
        <v>115</v>
      </c>
    </row>
    <row r="10" customFormat="false" ht="23.25" hidden="false" customHeight="true" outlineLevel="0" collapsed="false">
      <c r="A10" s="49" t="s">
        <v>116</v>
      </c>
      <c r="B10" s="49" t="s">
        <v>865</v>
      </c>
      <c r="C10" s="49" t="s">
        <v>88</v>
      </c>
      <c r="D10" s="49" t="s">
        <v>866</v>
      </c>
      <c r="E10" s="49" t="s">
        <v>297</v>
      </c>
      <c r="F10" s="50" t="n">
        <v>4162080</v>
      </c>
      <c r="G10" s="51" t="n">
        <v>39100</v>
      </c>
      <c r="H10" s="51" t="n">
        <v>16134</v>
      </c>
      <c r="I10" s="51" t="n">
        <v>33232</v>
      </c>
      <c r="J10" s="51" t="n">
        <v>0</v>
      </c>
      <c r="K10" s="51" t="n">
        <v>3861412</v>
      </c>
      <c r="L10" s="51" t="n">
        <v>1133308</v>
      </c>
      <c r="M10" s="52" t="n">
        <v>0</v>
      </c>
      <c r="N10" s="50" t="n">
        <v>590833</v>
      </c>
      <c r="O10" s="51" t="n">
        <v>4306638</v>
      </c>
      <c r="P10" s="51" t="n">
        <v>0</v>
      </c>
      <c r="Q10" s="51" t="n">
        <v>627814</v>
      </c>
      <c r="R10" s="51" t="n">
        <v>36830</v>
      </c>
      <c r="S10" s="53" t="n">
        <f aca="false">IF(F10&gt;0,(G10+H10)/F10,0)</f>
        <v>0.0132707684619229</v>
      </c>
      <c r="T10" s="53" t="n">
        <f aca="false">IF(F10&gt;0,M10/F10,0)</f>
        <v>0</v>
      </c>
      <c r="U10" s="49" t="n">
        <v>14</v>
      </c>
      <c r="V10" s="49" t="s">
        <v>867</v>
      </c>
      <c r="W10" s="49" t="s">
        <v>850</v>
      </c>
      <c r="X10" s="49" t="s">
        <v>868</v>
      </c>
    </row>
    <row r="11" customFormat="false" ht="34.5" hidden="false" customHeight="true" outlineLevel="0" collapsed="false">
      <c r="A11" s="49" t="s">
        <v>131</v>
      </c>
      <c r="B11" s="49" t="s">
        <v>848</v>
      </c>
      <c r="C11" s="49" t="s">
        <v>18</v>
      </c>
      <c r="D11" s="49" t="s">
        <v>869</v>
      </c>
      <c r="E11" s="49" t="s">
        <v>297</v>
      </c>
      <c r="F11" s="50" t="n">
        <v>29797591</v>
      </c>
      <c r="G11" s="51" t="n">
        <v>4893540</v>
      </c>
      <c r="H11" s="51" t="n">
        <v>4431000</v>
      </c>
      <c r="I11" s="51" t="n">
        <v>0</v>
      </c>
      <c r="J11" s="51" t="n">
        <v>175850</v>
      </c>
      <c r="K11" s="51" t="n">
        <v>156529346</v>
      </c>
      <c r="L11" s="51" t="n">
        <v>15464591</v>
      </c>
      <c r="M11" s="50" t="n">
        <v>1026687</v>
      </c>
      <c r="N11" s="50" t="n">
        <v>461347</v>
      </c>
      <c r="O11" s="51" t="n">
        <v>28429843</v>
      </c>
      <c r="P11" s="51" t="n">
        <v>22432686</v>
      </c>
      <c r="Q11" s="51" t="n">
        <v>3686709</v>
      </c>
      <c r="R11" s="51" t="n">
        <v>394902</v>
      </c>
      <c r="S11" s="53" t="n">
        <f aca="false">IF(F11&gt;0,(G11+H11)/F11,0)</f>
        <v>0.312929323716135</v>
      </c>
      <c r="T11" s="53" t="n">
        <f aca="false">IF(F11&gt;0,M11/F11,0)</f>
        <v>0.0344553692276668</v>
      </c>
      <c r="U11" s="49" t="n">
        <v>0</v>
      </c>
      <c r="V11" s="49" t="s">
        <v>199</v>
      </c>
      <c r="W11" s="49" t="s">
        <v>870</v>
      </c>
      <c r="X11" s="49" t="s">
        <v>132</v>
      </c>
    </row>
    <row r="12" customFormat="false" ht="23.25" hidden="false" customHeight="true" outlineLevel="0" collapsed="false">
      <c r="A12" s="49" t="s">
        <v>133</v>
      </c>
      <c r="B12" s="49" t="s">
        <v>871</v>
      </c>
      <c r="C12" s="49" t="s">
        <v>88</v>
      </c>
      <c r="D12" s="49" t="s">
        <v>872</v>
      </c>
      <c r="E12" s="49" t="s">
        <v>297</v>
      </c>
      <c r="F12" s="50" t="n">
        <v>29774649</v>
      </c>
      <c r="G12" s="51" t="n">
        <v>0</v>
      </c>
      <c r="H12" s="51" t="n">
        <v>36466</v>
      </c>
      <c r="I12" s="51" t="n">
        <v>0</v>
      </c>
      <c r="J12" s="51" t="n">
        <v>0</v>
      </c>
      <c r="K12" s="51" t="n">
        <v>23619910</v>
      </c>
      <c r="L12" s="51" t="n">
        <v>15453810</v>
      </c>
      <c r="M12" s="52" t="n">
        <v>0</v>
      </c>
      <c r="N12" s="50" t="n">
        <v>1564041</v>
      </c>
      <c r="O12" s="51" t="n">
        <v>29644416</v>
      </c>
      <c r="P12" s="51" t="n">
        <v>27791190</v>
      </c>
      <c r="Q12" s="51" t="n">
        <v>1853226</v>
      </c>
      <c r="R12" s="51" t="n">
        <v>0</v>
      </c>
      <c r="S12" s="53" t="n">
        <f aca="false">IF(F12&gt;0,(G12+H12)/F12,0)</f>
        <v>0.00122473316142199</v>
      </c>
      <c r="T12" s="53" t="n">
        <f aca="false">IF(F12&gt;0,M12/F12,0)</f>
        <v>0</v>
      </c>
      <c r="U12" s="49" t="n">
        <v>13</v>
      </c>
      <c r="V12" s="49" t="s">
        <v>873</v>
      </c>
      <c r="W12" s="49" t="s">
        <v>854</v>
      </c>
      <c r="X12" s="49" t="s">
        <v>134</v>
      </c>
    </row>
    <row r="13" customFormat="false" ht="34.5" hidden="false" customHeight="true" outlineLevel="0" collapsed="false">
      <c r="A13" s="49" t="s">
        <v>137</v>
      </c>
      <c r="B13" s="49" t="s">
        <v>874</v>
      </c>
      <c r="C13" s="49" t="s">
        <v>138</v>
      </c>
      <c r="D13" s="49" t="s">
        <v>875</v>
      </c>
      <c r="E13" s="49" t="s">
        <v>297</v>
      </c>
      <c r="F13" s="50" t="n">
        <v>14185992</v>
      </c>
      <c r="G13" s="51" t="n">
        <v>792184</v>
      </c>
      <c r="H13" s="51" t="n">
        <v>1671094</v>
      </c>
      <c r="I13" s="51" t="n">
        <v>0</v>
      </c>
      <c r="J13" s="51" t="n">
        <v>165563</v>
      </c>
      <c r="K13" s="51" t="n">
        <v>17436739</v>
      </c>
      <c r="L13" s="51" t="n">
        <v>11579170</v>
      </c>
      <c r="M13" s="50" t="n">
        <v>393285</v>
      </c>
      <c r="N13" s="50" t="n">
        <v>1055107</v>
      </c>
      <c r="O13" s="51" t="n">
        <v>16059094</v>
      </c>
      <c r="P13" s="51" t="n">
        <v>14166796</v>
      </c>
      <c r="Q13" s="51" t="n">
        <v>1499013</v>
      </c>
      <c r="R13" s="51" t="n">
        <v>84716</v>
      </c>
      <c r="S13" s="53" t="n">
        <f aca="false">IF(F13&gt;0,(G13+H13)/F13,0)</f>
        <v>0.173641575435824</v>
      </c>
      <c r="T13" s="53" t="n">
        <f aca="false">IF(F13&gt;0,M13/F13,0)</f>
        <v>0.0277234753833218</v>
      </c>
      <c r="U13" s="49" t="n">
        <v>16</v>
      </c>
      <c r="V13" s="49" t="s">
        <v>876</v>
      </c>
      <c r="W13" s="49" t="s">
        <v>877</v>
      </c>
      <c r="X13" s="49" t="s">
        <v>139</v>
      </c>
    </row>
    <row r="14" customFormat="false" ht="23.25" hidden="false" customHeight="true" outlineLevel="0" collapsed="false">
      <c r="A14" s="49" t="s">
        <v>142</v>
      </c>
      <c r="B14" s="49" t="s">
        <v>852</v>
      </c>
      <c r="C14" s="49" t="s">
        <v>88</v>
      </c>
      <c r="D14" s="49" t="s">
        <v>878</v>
      </c>
      <c r="E14" s="49" t="s">
        <v>297</v>
      </c>
      <c r="F14" s="50" t="n">
        <v>13554876</v>
      </c>
      <c r="G14" s="51" t="n">
        <v>943592</v>
      </c>
      <c r="H14" s="51" t="n">
        <v>1055988</v>
      </c>
      <c r="I14" s="51" t="n">
        <v>0</v>
      </c>
      <c r="J14" s="51" t="n">
        <v>0</v>
      </c>
      <c r="K14" s="51" t="n">
        <v>28165650</v>
      </c>
      <c r="L14" s="51" t="n">
        <v>9564093</v>
      </c>
      <c r="M14" s="52" t="n">
        <v>0</v>
      </c>
      <c r="N14" s="50" t="n">
        <v>1216533</v>
      </c>
      <c r="O14" s="51" t="n">
        <v>13034950</v>
      </c>
      <c r="P14" s="51" t="n">
        <v>9451187</v>
      </c>
      <c r="Q14" s="51" t="n">
        <v>2501064</v>
      </c>
      <c r="R14" s="51" t="n">
        <v>56221</v>
      </c>
      <c r="S14" s="53" t="n">
        <f aca="false">IF(F14&gt;0,(G14+H14)/F14,0)</f>
        <v>0.147517395216304</v>
      </c>
      <c r="T14" s="53" t="n">
        <f aca="false">IF(F14&gt;0,M14/F14,0)</f>
        <v>0</v>
      </c>
      <c r="U14" s="49" t="n">
        <v>0</v>
      </c>
      <c r="V14" s="49" t="s">
        <v>199</v>
      </c>
      <c r="W14" s="49" t="s">
        <v>854</v>
      </c>
      <c r="X14" s="49" t="s">
        <v>879</v>
      </c>
    </row>
    <row r="15" customFormat="false" ht="23.25" hidden="false" customHeight="true" outlineLevel="0" collapsed="false">
      <c r="A15" s="49" t="s">
        <v>144</v>
      </c>
      <c r="B15" s="49" t="s">
        <v>880</v>
      </c>
      <c r="C15" s="49" t="s">
        <v>88</v>
      </c>
      <c r="D15" s="49" t="s">
        <v>881</v>
      </c>
      <c r="E15" s="49" t="s">
        <v>297</v>
      </c>
      <c r="F15" s="50" t="n">
        <v>9364550</v>
      </c>
      <c r="G15" s="51" t="n">
        <v>240169</v>
      </c>
      <c r="H15" s="51" t="n">
        <v>0</v>
      </c>
      <c r="I15" s="51" t="n">
        <v>0</v>
      </c>
      <c r="J15" s="51" t="n">
        <v>0</v>
      </c>
      <c r="K15" s="51" t="n">
        <v>8860706</v>
      </c>
      <c r="L15" s="51" t="n">
        <v>2983064</v>
      </c>
      <c r="M15" s="52" t="n">
        <v>0</v>
      </c>
      <c r="N15" s="50" t="n">
        <v>115875</v>
      </c>
      <c r="O15" s="51" t="n">
        <v>8648067</v>
      </c>
      <c r="P15" s="51" t="n">
        <v>7300076</v>
      </c>
      <c r="Q15" s="51" t="n">
        <v>1347991</v>
      </c>
      <c r="R15" s="51" t="n">
        <v>130988</v>
      </c>
      <c r="S15" s="53" t="n">
        <f aca="false">IF(F15&gt;0,(G15+H15)/F15,0)</f>
        <v>0.0256466140925085</v>
      </c>
      <c r="T15" s="53" t="n">
        <f aca="false">IF(F15&gt;0,M15/F15,0)</f>
        <v>0</v>
      </c>
      <c r="U15" s="49" t="n">
        <v>0</v>
      </c>
      <c r="V15" s="49" t="s">
        <v>199</v>
      </c>
      <c r="W15" s="49" t="s">
        <v>854</v>
      </c>
      <c r="X15" s="49" t="s">
        <v>145</v>
      </c>
    </row>
    <row r="16" customFormat="false" ht="23.25" hidden="false" customHeight="true" outlineLevel="0" collapsed="false">
      <c r="A16" s="49" t="s">
        <v>146</v>
      </c>
      <c r="B16" s="49" t="s">
        <v>882</v>
      </c>
      <c r="C16" s="49" t="s">
        <v>88</v>
      </c>
      <c r="D16" s="49" t="s">
        <v>883</v>
      </c>
      <c r="E16" s="49" t="s">
        <v>297</v>
      </c>
      <c r="F16" s="50" t="n">
        <v>9066638</v>
      </c>
      <c r="G16" s="51" t="n">
        <v>548141</v>
      </c>
      <c r="H16" s="51" t="n">
        <v>20630</v>
      </c>
      <c r="I16" s="51" t="n">
        <v>0</v>
      </c>
      <c r="J16" s="51" t="n">
        <v>0</v>
      </c>
      <c r="K16" s="51" t="n">
        <v>8627178</v>
      </c>
      <c r="L16" s="51" t="n">
        <v>2818731</v>
      </c>
      <c r="M16" s="52" t="n">
        <v>0</v>
      </c>
      <c r="N16" s="50" t="n">
        <v>960540</v>
      </c>
      <c r="O16" s="51" t="n">
        <v>8501216</v>
      </c>
      <c r="P16" s="51" t="n">
        <v>7427525</v>
      </c>
      <c r="Q16" s="51" t="n">
        <v>930018</v>
      </c>
      <c r="R16" s="51" t="n">
        <v>0</v>
      </c>
      <c r="S16" s="53" t="n">
        <f aca="false">IF(F16&gt;0,(G16+H16)/F16,0)</f>
        <v>0.0627322939329882</v>
      </c>
      <c r="T16" s="53" t="n">
        <f aca="false">IF(F16&gt;0,M16/F16,0)</f>
        <v>0</v>
      </c>
      <c r="U16" s="49" t="n">
        <v>6</v>
      </c>
      <c r="V16" s="49" t="s">
        <v>884</v>
      </c>
      <c r="W16" s="49" t="s">
        <v>854</v>
      </c>
      <c r="X16" s="49" t="s">
        <v>147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32"/>
    <col collapsed="false" customWidth="true" hidden="false" outlineLevel="0" max="2" min="2" style="0" width="16"/>
    <col collapsed="false" customWidth="true" hidden="false" outlineLevel="0" max="3" min="3" style="0" width="20"/>
    <col collapsed="false" customWidth="true" hidden="false" outlineLevel="0" max="4" min="4" style="0" width="12"/>
    <col collapsed="false" customWidth="true" hidden="false" outlineLevel="0" max="7" min="5" style="0" width="14"/>
    <col collapsed="false" customWidth="true" hidden="false" outlineLevel="0" max="8" min="8" style="0" width="12"/>
    <col collapsed="false" customWidth="true" hidden="false" outlineLevel="0" max="15" min="9" style="0" width="14"/>
    <col collapsed="false" customWidth="true" hidden="false" outlineLevel="0" max="17" min="16" style="0" width="12"/>
    <col collapsed="false" customWidth="true" hidden="false" outlineLevel="0" max="19" min="18" style="0" width="10"/>
    <col collapsed="false" customWidth="true" hidden="false" outlineLevel="0" max="20" min="20" style="0" width="70"/>
  </cols>
  <sheetData>
    <row r="1" customFormat="false" ht="15" hidden="false" customHeight="false" outlineLevel="0" collapsed="false">
      <c r="A1" s="54" t="s">
        <v>885</v>
      </c>
    </row>
    <row r="2" customFormat="false" ht="15" hidden="false" customHeight="false" outlineLevel="0" collapsed="false">
      <c r="A2" s="55" t="s">
        <v>829</v>
      </c>
    </row>
    <row r="3" customFormat="false" ht="39.55" hidden="false" customHeight="false" outlineLevel="0" collapsed="false">
      <c r="A3" s="56" t="s">
        <v>830</v>
      </c>
      <c r="B3" s="56" t="s">
        <v>831</v>
      </c>
      <c r="C3" s="56" t="s">
        <v>275</v>
      </c>
      <c r="D3" s="56" t="s">
        <v>832</v>
      </c>
      <c r="E3" s="56" t="s">
        <v>7</v>
      </c>
      <c r="F3" s="56" t="s">
        <v>8</v>
      </c>
      <c r="G3" s="56" t="s">
        <v>833</v>
      </c>
      <c r="H3" s="56" t="s">
        <v>834</v>
      </c>
      <c r="I3" s="56" t="s">
        <v>835</v>
      </c>
      <c r="J3" s="56" t="s">
        <v>12</v>
      </c>
      <c r="K3" s="56" t="s">
        <v>836</v>
      </c>
      <c r="L3" s="56" t="s">
        <v>837</v>
      </c>
      <c r="M3" s="56" t="s">
        <v>11</v>
      </c>
      <c r="N3" s="56" t="s">
        <v>838</v>
      </c>
      <c r="O3" s="56" t="s">
        <v>839</v>
      </c>
      <c r="P3" s="56" t="s">
        <v>840</v>
      </c>
      <c r="Q3" s="56" t="s">
        <v>841</v>
      </c>
      <c r="R3" s="56" t="s">
        <v>13</v>
      </c>
      <c r="S3" s="56" t="s">
        <v>842</v>
      </c>
      <c r="T3" s="56" t="s">
        <v>290</v>
      </c>
    </row>
    <row r="4" customFormat="false" ht="23.85" hidden="false" customHeight="false" outlineLevel="0" collapsed="false">
      <c r="A4" s="5" t="s">
        <v>34</v>
      </c>
      <c r="B4" s="5" t="s">
        <v>886</v>
      </c>
      <c r="C4" s="5" t="s">
        <v>887</v>
      </c>
      <c r="D4" s="5" t="s">
        <v>314</v>
      </c>
      <c r="E4" s="8" t="n">
        <v>1663979</v>
      </c>
      <c r="F4" s="7" t="n">
        <v>226153</v>
      </c>
      <c r="G4" s="7" t="n">
        <v>0</v>
      </c>
      <c r="H4" s="7" t="n">
        <v>645000</v>
      </c>
      <c r="I4" s="7" t="n">
        <v>20667</v>
      </c>
      <c r="J4" s="7" t="n">
        <v>1643160</v>
      </c>
      <c r="K4" s="7" t="n">
        <v>79491</v>
      </c>
      <c r="L4" s="8" t="n">
        <v>0</v>
      </c>
      <c r="M4" s="8" t="n">
        <v>11338</v>
      </c>
      <c r="N4" s="7" t="n">
        <v>1740961</v>
      </c>
      <c r="O4" s="7" t="n">
        <v>1588473</v>
      </c>
      <c r="P4" s="7" t="n">
        <v>152488</v>
      </c>
      <c r="Q4" s="7" t="n">
        <v>53995</v>
      </c>
      <c r="R4" s="9" t="n">
        <f aca="false">IF(E4&gt;0,(F4+G4)/E4,0)</f>
        <v>0.135910970030271</v>
      </c>
      <c r="S4" s="9" t="n">
        <f aca="false">IF(E4&gt;0,L4/E4,0)</f>
        <v>0</v>
      </c>
      <c r="T4" s="5" t="s">
        <v>888</v>
      </c>
    </row>
    <row r="5" customFormat="false" ht="35.05" hidden="false" customHeight="false" outlineLevel="0" collapsed="false">
      <c r="A5" s="5" t="s">
        <v>41</v>
      </c>
      <c r="B5" s="5" t="s">
        <v>889</v>
      </c>
      <c r="C5" s="5" t="s">
        <v>890</v>
      </c>
      <c r="D5" s="5" t="s">
        <v>891</v>
      </c>
      <c r="E5" s="8" t="n">
        <v>1198233</v>
      </c>
      <c r="F5" s="7" t="n">
        <v>113247</v>
      </c>
      <c r="G5" s="7" t="n">
        <v>0</v>
      </c>
      <c r="H5" s="7" t="n">
        <v>175086</v>
      </c>
      <c r="I5" s="7" t="n">
        <v>111357</v>
      </c>
      <c r="J5" s="7" t="n">
        <v>1243085</v>
      </c>
      <c r="K5" s="7" t="n">
        <v>1025983</v>
      </c>
      <c r="L5" s="8" t="n">
        <v>0</v>
      </c>
      <c r="M5" s="8" t="n">
        <v>16635</v>
      </c>
      <c r="N5" s="7" t="n">
        <v>1294140</v>
      </c>
      <c r="O5" s="7" t="n">
        <v>0</v>
      </c>
      <c r="P5" s="7" t="n">
        <v>0</v>
      </c>
      <c r="Q5" s="7" t="n">
        <v>49887</v>
      </c>
      <c r="R5" s="9" t="n">
        <f aca="false">IF(E5&gt;0,(F5+G5)/E5,0)</f>
        <v>0.0945116684317658</v>
      </c>
      <c r="S5" s="9" t="n">
        <f aca="false">IF(E5&gt;0,L5/E5,0)</f>
        <v>0</v>
      </c>
      <c r="T5" s="5" t="s">
        <v>892</v>
      </c>
    </row>
    <row r="6" customFormat="false" ht="35.05" hidden="false" customHeight="false" outlineLevel="0" collapsed="false">
      <c r="A6" s="5" t="s">
        <v>55</v>
      </c>
      <c r="B6" s="5" t="s">
        <v>893</v>
      </c>
      <c r="C6" s="5" t="s">
        <v>894</v>
      </c>
      <c r="D6" s="5" t="s">
        <v>297</v>
      </c>
      <c r="E6" s="8" t="n">
        <v>322998</v>
      </c>
      <c r="F6" s="7" t="n">
        <v>55367</v>
      </c>
      <c r="G6" s="7" t="n">
        <v>11834</v>
      </c>
      <c r="H6" s="7" t="n">
        <v>0</v>
      </c>
      <c r="I6" s="7" t="n">
        <v>90310</v>
      </c>
      <c r="J6" s="7" t="n">
        <v>515623</v>
      </c>
      <c r="K6" s="7" t="n">
        <v>281705</v>
      </c>
      <c r="L6" s="8" t="n">
        <v>0</v>
      </c>
      <c r="M6" s="8" t="n">
        <v>12105</v>
      </c>
      <c r="N6" s="7" t="n">
        <v>309308</v>
      </c>
      <c r="O6" s="7" t="n">
        <v>233019</v>
      </c>
      <c r="P6" s="7" t="n">
        <v>78151</v>
      </c>
      <c r="Q6" s="7" t="n">
        <v>13791</v>
      </c>
      <c r="R6" s="9" t="n">
        <f aca="false">IF(E6&gt;0,(F6+G6)/E6,0)</f>
        <v>0.208053919838513</v>
      </c>
      <c r="S6" s="9" t="n">
        <f aca="false">IF(E6&gt;0,L6/E6,0)</f>
        <v>0</v>
      </c>
      <c r="T6" s="5" t="s">
        <v>895</v>
      </c>
    </row>
    <row r="7" customFormat="false" ht="35.05" hidden="false" customHeight="false" outlineLevel="0" collapsed="false">
      <c r="A7" s="5" t="s">
        <v>57</v>
      </c>
      <c r="B7" s="5" t="s">
        <v>896</v>
      </c>
      <c r="C7" s="5" t="s">
        <v>897</v>
      </c>
      <c r="D7" s="5" t="s">
        <v>297</v>
      </c>
      <c r="E7" s="8" t="n">
        <v>242326</v>
      </c>
      <c r="F7" s="7" t="n">
        <v>44612</v>
      </c>
      <c r="G7" s="7" t="n">
        <v>23275</v>
      </c>
      <c r="H7" s="7" t="n">
        <v>0</v>
      </c>
      <c r="I7" s="7" t="n">
        <v>17000</v>
      </c>
      <c r="J7" s="7" t="n">
        <v>146057</v>
      </c>
      <c r="K7" s="7" t="n">
        <v>70384</v>
      </c>
      <c r="L7" s="8" t="n">
        <v>0</v>
      </c>
      <c r="M7" s="6" t="n">
        <v>31689</v>
      </c>
      <c r="N7" s="7" t="n">
        <v>224146</v>
      </c>
      <c r="O7" s="7" t="n">
        <v>0</v>
      </c>
      <c r="P7" s="7" t="n">
        <v>0</v>
      </c>
      <c r="Q7" s="7" t="n">
        <v>11739</v>
      </c>
      <c r="R7" s="9" t="n">
        <f aca="false">IF(E7&gt;0,(F7+G7)/E7,0)</f>
        <v>0.280147404735769</v>
      </c>
      <c r="S7" s="9" t="n">
        <f aca="false">IF(E7&gt;0,L7/E7,0)</f>
        <v>0</v>
      </c>
      <c r="T7" s="5" t="s">
        <v>898</v>
      </c>
    </row>
    <row r="8" customFormat="false" ht="35.05" hidden="false" customHeight="false" outlineLevel="0" collapsed="false">
      <c r="A8" s="5" t="s">
        <v>59</v>
      </c>
      <c r="B8" s="5" t="s">
        <v>896</v>
      </c>
      <c r="C8" s="5" t="s">
        <v>899</v>
      </c>
      <c r="D8" s="5" t="s">
        <v>297</v>
      </c>
      <c r="E8" s="8" t="n">
        <v>223995</v>
      </c>
      <c r="F8" s="7" t="n">
        <v>2895</v>
      </c>
      <c r="G8" s="7" t="n">
        <v>9000</v>
      </c>
      <c r="H8" s="7" t="n">
        <v>0</v>
      </c>
      <c r="I8" s="7" t="n">
        <v>0</v>
      </c>
      <c r="J8" s="7" t="n">
        <v>116208</v>
      </c>
      <c r="K8" s="7" t="n">
        <v>19138</v>
      </c>
      <c r="L8" s="8" t="n">
        <v>0</v>
      </c>
      <c r="M8" s="8" t="n">
        <v>4210</v>
      </c>
      <c r="N8" s="7" t="n">
        <v>191673</v>
      </c>
      <c r="O8" s="7" t="n">
        <v>165444</v>
      </c>
      <c r="P8" s="7" t="n">
        <v>26229</v>
      </c>
      <c r="Q8" s="7" t="n">
        <v>24950</v>
      </c>
      <c r="R8" s="9" t="n">
        <f aca="false">IF(E8&gt;0,(F8+G8)/E8,0)</f>
        <v>0.0531038639255341</v>
      </c>
      <c r="S8" s="9" t="n">
        <f aca="false">IF(E8&gt;0,L8/E8,0)</f>
        <v>0</v>
      </c>
      <c r="T8" s="5" t="s">
        <v>900</v>
      </c>
    </row>
    <row r="9" customFormat="false" ht="23.85" hidden="false" customHeight="false" outlineLevel="0" collapsed="false">
      <c r="A9" s="5" t="s">
        <v>76</v>
      </c>
      <c r="B9" s="5" t="s">
        <v>901</v>
      </c>
      <c r="C9" s="5" t="s">
        <v>902</v>
      </c>
      <c r="D9" s="5" t="s">
        <v>331</v>
      </c>
      <c r="E9" s="8" t="n">
        <v>276968</v>
      </c>
      <c r="F9" s="7" t="n">
        <v>71684</v>
      </c>
      <c r="G9" s="7" t="n">
        <v>0</v>
      </c>
      <c r="H9" s="7" t="n">
        <v>0</v>
      </c>
      <c r="I9" s="7" t="n">
        <v>66940</v>
      </c>
      <c r="J9" s="7" t="n">
        <v>181894</v>
      </c>
      <c r="K9" s="7" t="n">
        <v>16639</v>
      </c>
      <c r="L9" s="8" t="n">
        <v>401</v>
      </c>
      <c r="M9" s="8" t="n">
        <v>5020</v>
      </c>
      <c r="N9" s="7" t="n">
        <v>295491</v>
      </c>
      <c r="O9" s="7" t="n">
        <v>258776</v>
      </c>
      <c r="P9" s="7" t="n">
        <v>35314</v>
      </c>
      <c r="Q9" s="7" t="n">
        <v>1291</v>
      </c>
      <c r="R9" s="9" t="n">
        <f aca="false">IF(E9&gt;0,(F9+G9)/E9,0)</f>
        <v>0.25881690303573</v>
      </c>
      <c r="S9" s="9" t="n">
        <f aca="false">IF(E9&gt;0,L9/E9,0)</f>
        <v>0.00144782068686635</v>
      </c>
      <c r="T9" s="5" t="s">
        <v>903</v>
      </c>
    </row>
    <row r="10" customFormat="false" ht="35.05" hidden="false" customHeight="false" outlineLevel="0" collapsed="false">
      <c r="A10" s="5" t="s">
        <v>61</v>
      </c>
      <c r="B10" s="5" t="s">
        <v>904</v>
      </c>
      <c r="C10" s="5" t="s">
        <v>905</v>
      </c>
      <c r="D10" s="5" t="s">
        <v>677</v>
      </c>
      <c r="E10" s="6" t="n">
        <v>198938</v>
      </c>
      <c r="F10" s="7" t="n">
        <v>14066</v>
      </c>
      <c r="G10" s="7" t="n">
        <v>0</v>
      </c>
      <c r="H10" s="7" t="n">
        <v>0</v>
      </c>
      <c r="I10" s="7" t="n">
        <v>164872</v>
      </c>
      <c r="J10" s="7" t="n">
        <v>172439</v>
      </c>
      <c r="K10" s="7" t="n">
        <v>40126</v>
      </c>
      <c r="L10" s="8" t="n">
        <v>0</v>
      </c>
      <c r="M10" s="8" t="n">
        <v>4750</v>
      </c>
      <c r="N10" s="7" t="n">
        <v>152221</v>
      </c>
      <c r="O10" s="7" t="n">
        <v>98176</v>
      </c>
      <c r="P10" s="7" t="n">
        <v>54045</v>
      </c>
      <c r="Q10" s="7" t="n">
        <v>8332</v>
      </c>
      <c r="R10" s="9" t="n">
        <f aca="false">IF(E10&gt;0,(F10+G10)/E10,0)</f>
        <v>0.0707054459178236</v>
      </c>
      <c r="S10" s="9" t="n">
        <f aca="false">IF(E10&gt;0,L10/E10,0)</f>
        <v>0</v>
      </c>
      <c r="T10" s="5" t="s">
        <v>62</v>
      </c>
    </row>
    <row r="11" customFormat="false" ht="23.85" hidden="false" customHeight="false" outlineLevel="0" collapsed="false">
      <c r="A11" s="5" t="s">
        <v>78</v>
      </c>
      <c r="B11" s="5" t="s">
        <v>906</v>
      </c>
      <c r="C11" s="5" t="s">
        <v>907</v>
      </c>
      <c r="D11" s="5" t="s">
        <v>677</v>
      </c>
      <c r="E11" s="6" t="n">
        <v>195485</v>
      </c>
      <c r="F11" s="7" t="n">
        <v>22145</v>
      </c>
      <c r="G11" s="7" t="n">
        <v>0</v>
      </c>
      <c r="H11" s="7" t="n">
        <v>0</v>
      </c>
      <c r="I11" s="7" t="n">
        <v>82927</v>
      </c>
      <c r="J11" s="7" t="n">
        <v>514191</v>
      </c>
      <c r="K11" s="7" t="n">
        <v>35321</v>
      </c>
      <c r="L11" s="8" t="n">
        <v>15368</v>
      </c>
      <c r="M11" s="8" t="n">
        <v>1258</v>
      </c>
      <c r="N11" s="7" t="n">
        <v>223489</v>
      </c>
      <c r="O11" s="7" t="n">
        <v>140975</v>
      </c>
      <c r="P11" s="7" t="n">
        <v>67146</v>
      </c>
      <c r="Q11" s="7" t="n">
        <v>17157</v>
      </c>
      <c r="R11" s="9" t="n">
        <f aca="false">IF(E11&gt;0,(F11+G11)/E11,0)</f>
        <v>0.113282349029337</v>
      </c>
      <c r="S11" s="9" t="n">
        <f aca="false">IF(E11&gt;0,L11/E11,0)</f>
        <v>0.0786147274726961</v>
      </c>
      <c r="T11" s="5" t="s">
        <v>79</v>
      </c>
    </row>
    <row r="12" customFormat="false" ht="23.85" hidden="false" customHeight="false" outlineLevel="0" collapsed="false">
      <c r="A12" s="5" t="s">
        <v>80</v>
      </c>
      <c r="B12" s="5" t="s">
        <v>908</v>
      </c>
      <c r="C12" s="5" t="s">
        <v>909</v>
      </c>
      <c r="D12" s="5" t="s">
        <v>677</v>
      </c>
      <c r="E12" s="6" t="n">
        <v>189787</v>
      </c>
      <c r="F12" s="7" t="n">
        <v>11800</v>
      </c>
      <c r="G12" s="7" t="n">
        <v>0</v>
      </c>
      <c r="H12" s="7" t="n">
        <v>47400</v>
      </c>
      <c r="I12" s="7" t="n">
        <v>0</v>
      </c>
      <c r="J12" s="7" t="n">
        <v>107962</v>
      </c>
      <c r="K12" s="7" t="n">
        <v>20253</v>
      </c>
      <c r="L12" s="8" t="n">
        <v>162</v>
      </c>
      <c r="M12" s="8" t="n">
        <v>4441</v>
      </c>
      <c r="N12" s="7" t="n">
        <v>210510</v>
      </c>
      <c r="O12" s="7" t="n">
        <v>163394</v>
      </c>
      <c r="P12" s="7" t="n">
        <v>46954</v>
      </c>
      <c r="Q12" s="7" t="n">
        <v>5291</v>
      </c>
      <c r="R12" s="9" t="n">
        <f aca="false">IF(E12&gt;0,(F12+G12)/E12,0)</f>
        <v>0.0621749645655393</v>
      </c>
      <c r="S12" s="9" t="n">
        <f aca="false">IF(E12&gt;0,L12/E12,0)</f>
        <v>0.000853588496577742</v>
      </c>
      <c r="T12" s="5" t="s">
        <v>910</v>
      </c>
    </row>
    <row r="13" customFormat="false" ht="23.85" hidden="false" customHeight="false" outlineLevel="0" collapsed="false">
      <c r="A13" s="5" t="s">
        <v>82</v>
      </c>
      <c r="B13" s="5" t="s">
        <v>911</v>
      </c>
      <c r="C13" s="5" t="s">
        <v>912</v>
      </c>
      <c r="D13" s="5" t="s">
        <v>297</v>
      </c>
      <c r="E13" s="6" t="n">
        <v>186905</v>
      </c>
      <c r="F13" s="7" t="n">
        <v>45023</v>
      </c>
      <c r="G13" s="7" t="n">
        <v>8423</v>
      </c>
      <c r="H13" s="7" t="n">
        <v>0</v>
      </c>
      <c r="I13" s="7" t="n">
        <v>31559</v>
      </c>
      <c r="J13" s="7" t="n">
        <v>275862</v>
      </c>
      <c r="K13" s="7" t="n">
        <v>71413</v>
      </c>
      <c r="L13" s="8" t="n">
        <v>13105</v>
      </c>
      <c r="M13" s="8" t="n">
        <v>0</v>
      </c>
      <c r="N13" s="7" t="n">
        <v>188613</v>
      </c>
      <c r="O13" s="7" t="n">
        <v>98496</v>
      </c>
      <c r="P13" s="7" t="n">
        <v>60260</v>
      </c>
      <c r="Q13" s="7" t="n">
        <v>5341</v>
      </c>
      <c r="R13" s="9" t="n">
        <f aca="false">IF(E13&gt;0,(F13+G13)/E13,0)</f>
        <v>0.285952756748081</v>
      </c>
      <c r="S13" s="9" t="n">
        <f aca="false">IF(E13&gt;0,L13/E13,0)</f>
        <v>0.0701158342473449</v>
      </c>
      <c r="T13" s="5" t="s">
        <v>913</v>
      </c>
    </row>
    <row r="14" customFormat="false" ht="35.05" hidden="false" customHeight="false" outlineLevel="0" collapsed="false">
      <c r="A14" s="5" t="s">
        <v>98</v>
      </c>
      <c r="B14" s="5" t="s">
        <v>914</v>
      </c>
      <c r="C14" s="5" t="s">
        <v>915</v>
      </c>
      <c r="D14" s="5" t="s">
        <v>314</v>
      </c>
      <c r="E14" s="8" t="n">
        <v>1111392</v>
      </c>
      <c r="F14" s="7" t="n">
        <v>168205</v>
      </c>
      <c r="G14" s="7" t="n">
        <v>0</v>
      </c>
      <c r="H14" s="7" t="n">
        <v>240086</v>
      </c>
      <c r="I14" s="7" t="n">
        <v>99038</v>
      </c>
      <c r="J14" s="7" t="n">
        <v>1242471</v>
      </c>
      <c r="K14" s="7" t="n">
        <v>907131</v>
      </c>
      <c r="L14" s="8" t="n">
        <v>49202</v>
      </c>
      <c r="M14" s="8" t="n">
        <v>10909</v>
      </c>
      <c r="N14" s="7" t="n">
        <v>1272610</v>
      </c>
      <c r="O14" s="7" t="n">
        <v>819802</v>
      </c>
      <c r="P14" s="7" t="n">
        <v>403606</v>
      </c>
      <c r="Q14" s="7" t="n">
        <v>117127</v>
      </c>
      <c r="R14" s="9" t="n">
        <f aca="false">IF(E14&gt;0,(F14+G14)/E14,0)</f>
        <v>0.151346239670611</v>
      </c>
      <c r="S14" s="9" t="n">
        <f aca="false">IF(E14&gt;0,L14/E14,0)</f>
        <v>0.044270608390199</v>
      </c>
      <c r="T14" s="5" t="s">
        <v>916</v>
      </c>
    </row>
    <row r="15" customFormat="false" ht="35.05" hidden="false" customHeight="false" outlineLevel="0" collapsed="false">
      <c r="A15" s="5" t="s">
        <v>94</v>
      </c>
      <c r="B15" s="5" t="s">
        <v>917</v>
      </c>
      <c r="C15" s="5" t="s">
        <v>918</v>
      </c>
      <c r="D15" s="5" t="s">
        <v>292</v>
      </c>
      <c r="E15" s="8" t="n">
        <v>1992938</v>
      </c>
      <c r="F15" s="7" t="n">
        <v>8230</v>
      </c>
      <c r="G15" s="7" t="n">
        <v>706</v>
      </c>
      <c r="H15" s="7" t="n">
        <v>30400</v>
      </c>
      <c r="I15" s="7" t="n">
        <v>426054</v>
      </c>
      <c r="J15" s="7" t="n">
        <v>1507818</v>
      </c>
      <c r="K15" s="7" t="n">
        <v>146872</v>
      </c>
      <c r="L15" s="6" t="n">
        <v>197585</v>
      </c>
      <c r="M15" s="8" t="n">
        <v>24838</v>
      </c>
      <c r="N15" s="7" t="n">
        <v>1964031</v>
      </c>
      <c r="O15" s="7" t="n">
        <v>1517348</v>
      </c>
      <c r="P15" s="7" t="n">
        <v>226462</v>
      </c>
      <c r="Q15" s="7" t="n">
        <v>115022</v>
      </c>
      <c r="R15" s="9" t="n">
        <f aca="false">IF(E15&gt;0,(F15+G15)/E15,0)</f>
        <v>0.00448383241224765</v>
      </c>
      <c r="S15" s="9" t="n">
        <f aca="false">IF(E15&gt;0,L15/E15,0)</f>
        <v>0.0991425724232264</v>
      </c>
      <c r="T15" s="5" t="s">
        <v>919</v>
      </c>
    </row>
    <row r="16" customFormat="false" ht="23.85" hidden="false" customHeight="false" outlineLevel="0" collapsed="false">
      <c r="A16" s="5" t="s">
        <v>106</v>
      </c>
      <c r="B16" s="5" t="s">
        <v>920</v>
      </c>
      <c r="C16" s="5" t="s">
        <v>921</v>
      </c>
      <c r="D16" s="5" t="s">
        <v>292</v>
      </c>
      <c r="E16" s="8" t="n">
        <v>286776</v>
      </c>
      <c r="F16" s="7" t="n">
        <v>4115</v>
      </c>
      <c r="G16" s="7" t="n">
        <v>0</v>
      </c>
      <c r="H16" s="7" t="n">
        <v>91935</v>
      </c>
      <c r="I16" s="7" t="n">
        <v>0</v>
      </c>
      <c r="J16" s="7" t="n">
        <v>458952</v>
      </c>
      <c r="K16" s="7" t="n">
        <v>281650</v>
      </c>
      <c r="L16" s="8" t="n">
        <v>0</v>
      </c>
      <c r="M16" s="6" t="n">
        <v>62767</v>
      </c>
      <c r="N16" s="7" t="n">
        <v>285674</v>
      </c>
      <c r="O16" s="7" t="n">
        <v>238758</v>
      </c>
      <c r="P16" s="7" t="n">
        <v>46916</v>
      </c>
      <c r="Q16" s="7" t="n">
        <v>39798</v>
      </c>
      <c r="R16" s="9" t="n">
        <f aca="false">IF(E16&gt;0,(F16+G16)/E16,0)</f>
        <v>0.0143491784528691</v>
      </c>
      <c r="S16" s="9" t="n">
        <f aca="false">IF(E16&gt;0,L16/E16,0)</f>
        <v>0</v>
      </c>
      <c r="T16" s="5" t="s">
        <v>922</v>
      </c>
    </row>
    <row r="17" customFormat="false" ht="23.85" hidden="false" customHeight="false" outlineLevel="0" collapsed="false">
      <c r="A17" s="5" t="s">
        <v>124</v>
      </c>
      <c r="B17" s="5" t="s">
        <v>923</v>
      </c>
      <c r="C17" s="5" t="s">
        <v>924</v>
      </c>
      <c r="D17" s="5" t="s">
        <v>314</v>
      </c>
      <c r="E17" s="6" t="n">
        <v>2352990</v>
      </c>
      <c r="F17" s="7" t="n">
        <v>21465</v>
      </c>
      <c r="G17" s="7" t="n">
        <v>6000</v>
      </c>
      <c r="H17" s="7" t="n">
        <v>116900</v>
      </c>
      <c r="I17" s="7" t="n">
        <v>150692</v>
      </c>
      <c r="J17" s="7" t="n">
        <v>3024739</v>
      </c>
      <c r="K17" s="7" t="n">
        <v>2344713</v>
      </c>
      <c r="L17" s="8" t="n">
        <v>29327</v>
      </c>
      <c r="M17" s="8" t="n">
        <v>4995</v>
      </c>
      <c r="N17" s="7" t="n">
        <v>2348260</v>
      </c>
      <c r="O17" s="7" t="n">
        <v>0</v>
      </c>
      <c r="P17" s="7" t="n">
        <v>0</v>
      </c>
      <c r="Q17" s="7" t="n">
        <v>93936</v>
      </c>
      <c r="R17" s="9" t="n">
        <f aca="false">IF(E17&gt;0,(F17+G17)/E17,0)</f>
        <v>0.0116723827980569</v>
      </c>
      <c r="S17" s="9" t="n">
        <f aca="false">IF(E17&gt;0,L17/E17,0)</f>
        <v>0.0124637163778852</v>
      </c>
      <c r="T17" s="5" t="s">
        <v>925</v>
      </c>
    </row>
    <row r="18" customFormat="false" ht="23.85" hidden="false" customHeight="false" outlineLevel="0" collapsed="false">
      <c r="A18" s="5" t="s">
        <v>126</v>
      </c>
      <c r="B18" s="5" t="s">
        <v>926</v>
      </c>
      <c r="C18" s="5" t="s">
        <v>927</v>
      </c>
      <c r="D18" s="5" t="s">
        <v>314</v>
      </c>
      <c r="E18" s="6" t="n">
        <v>2352454</v>
      </c>
      <c r="F18" s="7" t="n">
        <v>435744</v>
      </c>
      <c r="G18" s="7" t="n">
        <v>0</v>
      </c>
      <c r="H18" s="7" t="n">
        <v>80493</v>
      </c>
      <c r="I18" s="7" t="n">
        <v>0</v>
      </c>
      <c r="J18" s="7" t="n">
        <v>4374613</v>
      </c>
      <c r="K18" s="7" t="n">
        <v>4152048</v>
      </c>
      <c r="L18" s="6" t="n">
        <v>84003</v>
      </c>
      <c r="M18" s="6" t="n">
        <v>409043</v>
      </c>
      <c r="N18" s="7" t="n">
        <v>2509025</v>
      </c>
      <c r="O18" s="7" t="n">
        <v>1739271</v>
      </c>
      <c r="P18" s="7" t="n">
        <v>311616</v>
      </c>
      <c r="Q18" s="7" t="n">
        <v>192546</v>
      </c>
      <c r="R18" s="9" t="n">
        <f aca="false">IF(E18&gt;0,(F18+G18)/E18,0)</f>
        <v>0.185229551778696</v>
      </c>
      <c r="S18" s="9" t="n">
        <f aca="false">IF(E18&gt;0,L18/E18,0)</f>
        <v>0.0357086684798088</v>
      </c>
      <c r="T18" s="5" t="s">
        <v>127</v>
      </c>
    </row>
    <row r="19" customFormat="false" ht="23.85" hidden="false" customHeight="false" outlineLevel="0" collapsed="false">
      <c r="A19" s="5" t="s">
        <v>162</v>
      </c>
      <c r="B19" s="5" t="s">
        <v>928</v>
      </c>
      <c r="C19" s="5" t="s">
        <v>929</v>
      </c>
      <c r="D19" s="5" t="s">
        <v>677</v>
      </c>
      <c r="E19" s="6" t="n">
        <v>141903</v>
      </c>
      <c r="F19" s="7" t="n">
        <v>14822</v>
      </c>
      <c r="G19" s="7" t="n">
        <v>1344</v>
      </c>
      <c r="H19" s="7" t="n">
        <v>0</v>
      </c>
      <c r="I19" s="7" t="n">
        <v>80836</v>
      </c>
      <c r="J19" s="7" t="n">
        <v>174104</v>
      </c>
      <c r="K19" s="7" t="n">
        <v>0</v>
      </c>
      <c r="L19" s="8" t="n">
        <v>2226</v>
      </c>
      <c r="M19" s="8" t="n">
        <v>1330</v>
      </c>
      <c r="N19" s="7" t="n">
        <v>130173</v>
      </c>
      <c r="O19" s="7" t="n">
        <v>121612</v>
      </c>
      <c r="P19" s="7" t="n">
        <v>6335</v>
      </c>
      <c r="Q19" s="7" t="n">
        <v>2839</v>
      </c>
      <c r="R19" s="9" t="n">
        <f aca="false">IF(E19&gt;0,(F19+G19)/E19,0)</f>
        <v>0.113922890988915</v>
      </c>
      <c r="S19" s="9" t="n">
        <f aca="false">IF(E19&gt;0,L19/E19,0)</f>
        <v>0.0156867719498531</v>
      </c>
      <c r="T19" s="5" t="s">
        <v>930</v>
      </c>
    </row>
    <row r="20" customFormat="false" ht="23.85" hidden="false" customHeight="false" outlineLevel="0" collapsed="false">
      <c r="A20" s="5" t="s">
        <v>108</v>
      </c>
      <c r="B20" s="5" t="s">
        <v>931</v>
      </c>
      <c r="C20" s="5" t="s">
        <v>932</v>
      </c>
      <c r="D20" s="5" t="s">
        <v>297</v>
      </c>
      <c r="E20" s="6" t="n">
        <v>121522</v>
      </c>
      <c r="F20" s="7" t="n">
        <v>14690</v>
      </c>
      <c r="G20" s="7" t="n">
        <v>23770</v>
      </c>
      <c r="H20" s="7" t="n">
        <v>0</v>
      </c>
      <c r="I20" s="7" t="n">
        <v>19376</v>
      </c>
      <c r="J20" s="7" t="n">
        <v>90568</v>
      </c>
      <c r="K20" s="7" t="n">
        <v>21825</v>
      </c>
      <c r="L20" s="8" t="n">
        <v>0</v>
      </c>
      <c r="M20" s="8" t="n">
        <v>2851</v>
      </c>
      <c r="N20" s="7" t="n">
        <v>127434</v>
      </c>
      <c r="O20" s="7" t="n">
        <v>117750</v>
      </c>
      <c r="P20" s="7" t="n">
        <v>9684</v>
      </c>
      <c r="Q20" s="7" t="n">
        <v>1744</v>
      </c>
      <c r="R20" s="9" t="n">
        <f aca="false">IF(E20&gt;0,(F20+G20)/E20,0)</f>
        <v>0.316485903786969</v>
      </c>
      <c r="S20" s="9" t="n">
        <f aca="false">IF(E20&gt;0,L20/E20,0)</f>
        <v>0</v>
      </c>
      <c r="T20" s="5" t="s">
        <v>933</v>
      </c>
    </row>
    <row r="21" customFormat="false" ht="15" hidden="false" customHeight="false" outlineLevel="0" collapsed="false">
      <c r="A21" s="5" t="s">
        <v>166</v>
      </c>
      <c r="B21" s="5" t="s">
        <v>934</v>
      </c>
      <c r="C21" s="5" t="s">
        <v>935</v>
      </c>
      <c r="D21" s="5" t="s">
        <v>677</v>
      </c>
      <c r="E21" s="6" t="n">
        <v>52995</v>
      </c>
      <c r="F21" s="7" t="n">
        <v>0</v>
      </c>
      <c r="G21" s="7" t="n">
        <v>0</v>
      </c>
      <c r="H21" s="7" t="n">
        <v>0</v>
      </c>
      <c r="I21" s="7" t="n">
        <v>3912</v>
      </c>
      <c r="J21" s="7" t="n">
        <v>55862</v>
      </c>
      <c r="K21" s="7" t="n">
        <v>0</v>
      </c>
      <c r="L21" s="8" t="n">
        <v>0</v>
      </c>
      <c r="M21" s="8" t="n">
        <v>0</v>
      </c>
      <c r="N21" s="7" t="n">
        <v>50545</v>
      </c>
      <c r="O21" s="7" t="n">
        <v>47453</v>
      </c>
      <c r="P21" s="7" t="n">
        <v>3092</v>
      </c>
      <c r="Q21" s="7" t="n">
        <v>0</v>
      </c>
      <c r="R21" s="9" t="n">
        <f aca="false">IF(E21&gt;0,(F21+G21)/E21,0)</f>
        <v>0</v>
      </c>
      <c r="S21" s="9" t="n">
        <f aca="false">IF(E21&gt;0,L21/E21,0)</f>
        <v>0</v>
      </c>
      <c r="T21" s="5" t="s">
        <v>167</v>
      </c>
    </row>
    <row r="22" customFormat="false" ht="15" hidden="false" customHeight="false" outlineLevel="0" collapsed="false">
      <c r="A22" s="5" t="s">
        <v>168</v>
      </c>
      <c r="B22" s="5" t="s">
        <v>936</v>
      </c>
      <c r="C22" s="5" t="s">
        <v>937</v>
      </c>
      <c r="D22" s="5" t="s">
        <v>297</v>
      </c>
      <c r="E22" s="6" t="n">
        <v>50909</v>
      </c>
      <c r="F22" s="7" t="n">
        <v>1196</v>
      </c>
      <c r="G22" s="7" t="n">
        <v>7800</v>
      </c>
      <c r="H22" s="7" t="n">
        <v>0</v>
      </c>
      <c r="I22" s="7" t="n">
        <v>32827</v>
      </c>
      <c r="J22" s="7" t="n">
        <v>159242</v>
      </c>
      <c r="K22" s="7" t="n">
        <v>0</v>
      </c>
      <c r="L22" s="8" t="n">
        <v>0</v>
      </c>
      <c r="M22" s="8" t="n">
        <v>0</v>
      </c>
      <c r="N22" s="7" t="n">
        <v>28262</v>
      </c>
      <c r="O22" s="7" t="n">
        <v>22424</v>
      </c>
      <c r="P22" s="7" t="n">
        <v>0</v>
      </c>
      <c r="Q22" s="7" t="n">
        <v>0</v>
      </c>
      <c r="R22" s="9" t="n">
        <f aca="false">IF(E22&gt;0,(F22+G22)/E22,0)</f>
        <v>0.176707458406176</v>
      </c>
      <c r="S22" s="9" t="n">
        <f aca="false">IF(E22&gt;0,L22/E22,0)</f>
        <v>0</v>
      </c>
      <c r="T22" s="5" t="s">
        <v>169</v>
      </c>
    </row>
    <row r="23" customFormat="false" ht="15" hidden="false" customHeight="false" outlineLevel="0" collapsed="false">
      <c r="A23" s="5" t="s">
        <v>170</v>
      </c>
      <c r="B23" s="5" t="s">
        <v>938</v>
      </c>
      <c r="C23" s="5" t="s">
        <v>939</v>
      </c>
      <c r="D23" s="5" t="s">
        <v>297</v>
      </c>
      <c r="E23" s="6" t="n">
        <v>43866</v>
      </c>
      <c r="F23" s="7" t="n">
        <v>3432</v>
      </c>
      <c r="G23" s="7" t="n">
        <v>7667</v>
      </c>
      <c r="H23" s="7" t="n">
        <v>0</v>
      </c>
      <c r="I23" s="7" t="n">
        <v>31215</v>
      </c>
      <c r="J23" s="7" t="n">
        <v>63768</v>
      </c>
      <c r="K23" s="7" t="n">
        <v>16470</v>
      </c>
      <c r="L23" s="8" t="n">
        <v>0</v>
      </c>
      <c r="M23" s="8" t="n">
        <v>0</v>
      </c>
      <c r="N23" s="7" t="n">
        <v>31469</v>
      </c>
      <c r="O23" s="7" t="n">
        <v>31401</v>
      </c>
      <c r="P23" s="7" t="n">
        <v>68</v>
      </c>
      <c r="Q23" s="7" t="n">
        <v>0</v>
      </c>
      <c r="R23" s="9" t="n">
        <f aca="false">IF(E23&gt;0,(F23+G23)/E23,0)</f>
        <v>0.253020562622532</v>
      </c>
      <c r="S23" s="9" t="n">
        <f aca="false">IF(E23&gt;0,L23/E23,0)</f>
        <v>0</v>
      </c>
      <c r="T23" s="5" t="s">
        <v>171</v>
      </c>
    </row>
    <row r="24" customFormat="false" ht="15" hidden="false" customHeight="false" outlineLevel="0" collapsed="false">
      <c r="A24" s="5" t="s">
        <v>172</v>
      </c>
      <c r="B24" s="5" t="s">
        <v>940</v>
      </c>
      <c r="C24" s="5" t="s">
        <v>941</v>
      </c>
      <c r="D24" s="5" t="s">
        <v>331</v>
      </c>
      <c r="E24" s="6" t="n">
        <v>42215</v>
      </c>
      <c r="F24" s="7" t="n">
        <v>21332</v>
      </c>
      <c r="G24" s="7" t="n">
        <v>0</v>
      </c>
      <c r="H24" s="7" t="n">
        <v>0</v>
      </c>
      <c r="I24" s="7" t="n">
        <v>2179</v>
      </c>
      <c r="J24" s="7" t="n">
        <v>16901</v>
      </c>
      <c r="K24" s="7" t="n">
        <v>400</v>
      </c>
      <c r="L24" s="8" t="n">
        <v>0</v>
      </c>
      <c r="M24" s="8" t="n">
        <v>0</v>
      </c>
      <c r="N24" s="7" t="n">
        <v>38536</v>
      </c>
      <c r="O24" s="7" t="n">
        <v>38536</v>
      </c>
      <c r="P24" s="7" t="n">
        <v>0</v>
      </c>
      <c r="Q24" s="7" t="n">
        <v>0</v>
      </c>
      <c r="R24" s="9" t="n">
        <f aca="false">IF(E24&gt;0,(F24+G24)/E24,0)</f>
        <v>0.505318014923605</v>
      </c>
      <c r="S24" s="9" t="n">
        <f aca="false">IF(E24&gt;0,L24/E24,0)</f>
        <v>0</v>
      </c>
      <c r="T24" s="5" t="s">
        <v>173</v>
      </c>
    </row>
    <row r="25" customFormat="false" ht="15" hidden="false" customHeight="false" outlineLevel="0" collapsed="false">
      <c r="A25" s="5" t="s">
        <v>174</v>
      </c>
      <c r="B25" s="5" t="s">
        <v>942</v>
      </c>
      <c r="C25" s="5" t="s">
        <v>943</v>
      </c>
      <c r="D25" s="5" t="s">
        <v>677</v>
      </c>
      <c r="E25" s="6" t="n">
        <v>41945</v>
      </c>
      <c r="F25" s="7" t="n">
        <v>0</v>
      </c>
      <c r="G25" s="7" t="n">
        <v>0</v>
      </c>
      <c r="H25" s="7" t="n">
        <v>0</v>
      </c>
      <c r="I25" s="7" t="n">
        <v>0</v>
      </c>
      <c r="J25" s="7" t="n">
        <v>205744</v>
      </c>
      <c r="K25" s="7" t="n">
        <v>7442</v>
      </c>
      <c r="L25" s="8" t="n">
        <v>0</v>
      </c>
      <c r="M25" s="8" t="n">
        <v>10095</v>
      </c>
      <c r="N25" s="7" t="n">
        <v>22564</v>
      </c>
      <c r="O25" s="7" t="n">
        <v>21536</v>
      </c>
      <c r="P25" s="7" t="n">
        <v>1028</v>
      </c>
      <c r="Q25" s="7" t="n">
        <v>1417</v>
      </c>
      <c r="R25" s="9" t="n">
        <f aca="false">IF(E25&gt;0,(F25+G25)/E25,0)</f>
        <v>0</v>
      </c>
      <c r="S25" s="9" t="n">
        <f aca="false">IF(E25&gt;0,L25/E25,0)</f>
        <v>0</v>
      </c>
      <c r="T25" s="5" t="s">
        <v>175</v>
      </c>
    </row>
    <row r="26" customFormat="false" ht="23.85" hidden="false" customHeight="false" outlineLevel="0" collapsed="false">
      <c r="A26" s="5" t="s">
        <v>128</v>
      </c>
      <c r="B26" s="5" t="s">
        <v>944</v>
      </c>
      <c r="C26" s="5" t="s">
        <v>945</v>
      </c>
      <c r="D26" s="5" t="s">
        <v>297</v>
      </c>
      <c r="E26" s="7" t="n">
        <v>0</v>
      </c>
      <c r="F26" s="7" t="n">
        <v>0</v>
      </c>
      <c r="G26" s="7" t="n">
        <v>0</v>
      </c>
      <c r="H26" s="7" t="n">
        <v>0</v>
      </c>
      <c r="I26" s="7" t="n">
        <v>0</v>
      </c>
      <c r="J26" s="7" t="n">
        <v>11141</v>
      </c>
      <c r="K26" s="7" t="n">
        <v>0</v>
      </c>
      <c r="L26" s="8" t="n">
        <v>0</v>
      </c>
      <c r="M26" s="8" t="n">
        <v>0</v>
      </c>
      <c r="N26" s="7" t="n">
        <v>310</v>
      </c>
      <c r="O26" s="7" t="n">
        <v>0</v>
      </c>
      <c r="P26" s="7" t="n">
        <v>310</v>
      </c>
      <c r="Q26" s="7" t="n">
        <v>0</v>
      </c>
      <c r="R26" s="9" t="n">
        <f aca="false">IF(E26&gt;0,(F26+G26)/E26,0)</f>
        <v>0</v>
      </c>
      <c r="S26" s="9" t="n">
        <f aca="false">IF(E26&gt;0,L26/E26,0)</f>
        <v>0</v>
      </c>
      <c r="T26" s="5" t="s">
        <v>129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LibreOffice/25.2.6.2$Linux_AARCH64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2026-03-09T21:34:57Z</dcterms:created>
  <dc:creator>openpyxl</dc:creator>
  <dc:description/>
  <dc:language>en-US</dc:language>
  <cp:lastModifiedBy/>
  <dcterms:modified xsi:type="dcterms:W3CDTF">2026-03-12T22:41:11Z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